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iografía Mensual" sheetId="1" state="visible" r:id="rId1"/>
    <sheet name="Punto de Equilibrio" sheetId="2" state="visible" r:id="rId2"/>
    <sheet name="Tablero" sheetId="3" state="visible" r:id="rId3"/>
  </sheets>
  <definedNames>
    <definedName name="R_INGRESOS">'Radiografía Mensual'!$C$9</definedName>
    <definedName name="R_GFIJOS">'Radiografía Mensual'!$C$19</definedName>
    <definedName name="R_GVAR">'Radiografía Mensual'!$C$27</definedName>
    <definedName name="R_GANANCIA">'Radiografía Mensual'!$C$31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"/>
  </numFmts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F3A5F"/>
      <sz val="9"/>
    </font>
    <font>
      <b val="1"/>
      <color rgb="00FFFFFF"/>
      <sz val="11"/>
    </font>
    <font>
      <color rgb="00222222"/>
      <sz val="10"/>
    </font>
    <font>
      <sz val="10"/>
    </font>
    <font>
      <b val="1"/>
      <color rgb="001F3A5F"/>
      <sz val="10"/>
    </font>
    <font>
      <b val="1"/>
      <sz val="10"/>
    </font>
    <font>
      <b val="1"/>
      <color rgb="002E7D4F"/>
      <sz val="12"/>
    </font>
    <font>
      <b val="1"/>
      <color rgb="001F3A5F"/>
      <sz val="11"/>
    </font>
    <font>
      <color rgb="00000000"/>
      <sz val="10"/>
    </font>
    <font>
      <b val="1"/>
      <color rgb="00000000"/>
      <sz val="11"/>
    </font>
    <font>
      <b val="1"/>
      <color rgb="002E7D4F"/>
      <sz val="11"/>
    </font>
    <font>
      <b val="1"/>
      <sz val="12"/>
    </font>
    <font>
      <i val="1"/>
      <color rgb="00888888"/>
      <sz val="10"/>
    </font>
    <font>
      <i val="1"/>
      <color rgb="008A5A00"/>
      <sz val="9"/>
    </font>
  </fonts>
  <fills count="11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2E5E8C"/>
      </patternFill>
    </fill>
    <fill>
      <patternFill patternType="solid">
        <fgColor rgb="00FFF3C4"/>
      </patternFill>
    </fill>
    <fill>
      <patternFill patternType="solid">
        <fgColor rgb="00F2F2F2"/>
      </patternFill>
    </fill>
    <fill>
      <patternFill patternType="solid">
        <fgColor rgb="002E7D4F"/>
      </patternFill>
    </fill>
    <fill>
      <patternFill patternType="solid">
        <fgColor rgb="002E6E7E"/>
      </patternFill>
    </fill>
    <fill>
      <patternFill patternType="solid">
        <fgColor rgb="00B8860B"/>
      </patternFill>
    </fill>
    <fill>
      <patternFill patternType="solid">
        <fgColor rgb="00FFF8E7"/>
      </patternFill>
    </fill>
  </fills>
  <borders count="6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  <border>
      <left/>
      <right/>
      <top style="thin">
        <color rgb="00B0B8C4"/>
      </top>
      <bottom/>
      <diagonal/>
    </border>
    <border>
      <left/>
      <right style="thin">
        <color rgb="00B0B8C4"/>
      </right>
      <top style="thin">
        <color rgb="00B0B8C4"/>
      </top>
      <bottom/>
      <diagonal/>
    </border>
    <border>
      <left/>
      <right style="thin">
        <color rgb="00B0B8C4"/>
      </right>
      <top style="thin">
        <color rgb="00B0B8C4"/>
      </top>
      <bottom style="thin">
        <color rgb="00B0B8C4"/>
      </bottom>
      <diagonal/>
    </border>
    <border>
      <left/>
      <right/>
      <top style="thin">
        <color rgb="00B0B8C4"/>
      </top>
      <bottom style="thin">
        <color rgb="00B0B8C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center" indent="1"/>
    </xf>
    <xf numFmtId="0" fontId="4" fillId="0" borderId="1" applyAlignment="1" pivotButton="0" quotePrefix="0" xfId="0">
      <alignment indent="1"/>
    </xf>
    <xf numFmtId="0" fontId="0" fillId="0" borderId="4" pivotButton="0" quotePrefix="0" xfId="0"/>
    <xf numFmtId="164" fontId="5" fillId="5" borderId="1" applyAlignment="1" pivotButton="0" quotePrefix="0" xfId="0">
      <alignment horizontal="right"/>
    </xf>
    <xf numFmtId="0" fontId="6" fillId="0" borderId="1" applyAlignment="1" pivotButton="0" quotePrefix="0" xfId="0">
      <alignment indent="1"/>
    </xf>
    <xf numFmtId="164" fontId="7" fillId="6" borderId="1" applyAlignment="1" pivotButton="0" quotePrefix="0" xfId="0">
      <alignment horizontal="right"/>
    </xf>
    <xf numFmtId="0" fontId="3" fillId="7" borderId="0" applyAlignment="1" pivotButton="0" quotePrefix="0" xfId="0">
      <alignment vertical="center" indent="1"/>
    </xf>
    <xf numFmtId="164" fontId="8" fillId="6" borderId="1" applyAlignment="1" pivotButton="0" quotePrefix="0" xfId="0">
      <alignment horizontal="right"/>
    </xf>
    <xf numFmtId="165" fontId="9" fillId="6" borderId="1" applyAlignment="1" pivotButton="0" quotePrefix="0" xfId="0">
      <alignment horizontal="right"/>
    </xf>
    <xf numFmtId="164" fontId="6" fillId="6" borderId="1" applyAlignment="1" pivotButton="0" quotePrefix="0" xfId="0">
      <alignment horizontal="right"/>
    </xf>
    <xf numFmtId="164" fontId="10" fillId="6" borderId="1" applyAlignment="1" pivotButton="0" quotePrefix="0" xfId="0">
      <alignment horizontal="right"/>
    </xf>
    <xf numFmtId="165" fontId="10" fillId="5" borderId="1" applyAlignment="1" pivotButton="0" quotePrefix="0" xfId="0">
      <alignment horizontal="right"/>
    </xf>
    <xf numFmtId="164" fontId="9" fillId="6" borderId="1" applyAlignment="1" pivotButton="0" quotePrefix="0" xfId="0">
      <alignment horizontal="right"/>
    </xf>
    <xf numFmtId="164" fontId="12" fillId="6" borderId="1" applyAlignment="1" pivotButton="0" quotePrefix="0" xfId="0">
      <alignment horizontal="right"/>
    </xf>
    <xf numFmtId="0" fontId="11" fillId="6" borderId="1" applyAlignment="1" pivotButton="0" quotePrefix="0" xfId="0">
      <alignment horizontal="right"/>
    </xf>
    <xf numFmtId="0" fontId="3" fillId="8" borderId="0" pivotButton="0" quotePrefix="0" xfId="0"/>
    <xf numFmtId="0" fontId="9" fillId="0" borderId="1" applyAlignment="1" pivotButton="0" quotePrefix="0" xfId="0">
      <alignment indent="1"/>
    </xf>
    <xf numFmtId="164" fontId="13" fillId="6" borderId="1" applyAlignment="1" pivotButton="0" quotePrefix="0" xfId="0">
      <alignment horizontal="right"/>
    </xf>
    <xf numFmtId="165" fontId="13" fillId="6" borderId="1" applyAlignment="1" pivotButton="0" quotePrefix="0" xfId="0">
      <alignment horizontal="right"/>
    </xf>
    <xf numFmtId="0" fontId="3" fillId="9" borderId="0" pivotButton="0" quotePrefix="0" xfId="0"/>
    <xf numFmtId="0" fontId="5" fillId="0" borderId="1" applyAlignment="1" pivotButton="0" quotePrefix="0" xfId="0">
      <alignment wrapText="1" indent="1"/>
    </xf>
    <xf numFmtId="0" fontId="0" fillId="0" borderId="5" pivotButton="0" quotePrefix="0" xfId="0"/>
    <xf numFmtId="0" fontId="14" fillId="5" borderId="1" applyAlignment="1" pivotButton="0" quotePrefix="0" xfId="0">
      <alignment horizontal="center"/>
    </xf>
    <xf numFmtId="0" fontId="15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</cols>
  <sheetData>
    <row r="1" ht="26" customHeight="1">
      <c r="A1" s="1" t="inlineStr">
        <is>
          <t>RADIOGRAFÍA FINANCIERA — MENSUAL</t>
        </is>
      </c>
    </row>
    <row r="2" ht="16" customHeight="1">
      <c r="A2" s="2" t="inlineStr">
        <is>
          <t>Kit de Claridad · Escribe SOLO las celdas amarillas. Los totales se calculan solos.</t>
        </is>
      </c>
    </row>
    <row r="4" ht="20" customHeight="1">
      <c r="A4" s="3" t="inlineStr">
        <is>
          <t>① INGRESOS DEL MES</t>
        </is>
      </c>
    </row>
    <row r="5">
      <c r="A5" s="4" t="inlineStr">
        <is>
          <t>Ventas / servicios principales</t>
        </is>
      </c>
      <c r="B5" s="5" t="n"/>
      <c r="C5" s="6" t="n">
        <v>8500</v>
      </c>
    </row>
    <row r="6">
      <c r="A6" s="4" t="inlineStr">
        <is>
          <t>Ingresos por contratos</t>
        </is>
      </c>
      <c r="B6" s="5" t="n"/>
      <c r="C6" s="6" t="n">
        <v>1500</v>
      </c>
    </row>
    <row r="7">
      <c r="A7" s="4" t="inlineStr">
        <is>
          <t>Otros ingresos</t>
        </is>
      </c>
      <c r="B7" s="5" t="n"/>
      <c r="C7" s="6" t="n">
        <v>0</v>
      </c>
    </row>
    <row r="8">
      <c r="A8" s="4" t="inlineStr">
        <is>
          <t>Otro</t>
        </is>
      </c>
      <c r="B8" s="5" t="n"/>
      <c r="C8" s="6" t="n">
        <v>0</v>
      </c>
    </row>
    <row r="9">
      <c r="A9" s="7" t="inlineStr">
        <is>
          <t>TOTAL INGRESOS</t>
        </is>
      </c>
      <c r="B9" s="5" t="n"/>
      <c r="C9" s="8">
        <f>SUM(C5:C8)</f>
        <v/>
      </c>
    </row>
    <row r="11" ht="20" customHeight="1">
      <c r="A11" s="3" t="inlineStr">
        <is>
          <t>② GASTOS FIJOS (todos los meses)</t>
        </is>
      </c>
    </row>
    <row r="12">
      <c r="A12" s="4" t="inlineStr">
        <is>
          <t>Renta / local</t>
        </is>
      </c>
      <c r="B12" s="5" t="n"/>
      <c r="C12" s="6" t="n">
        <v>1200</v>
      </c>
    </row>
    <row r="13">
      <c r="A13" s="4" t="inlineStr">
        <is>
          <t>Nómina y contratistas</t>
        </is>
      </c>
      <c r="B13" s="5" t="n"/>
      <c r="C13" s="6" t="n">
        <v>3500</v>
      </c>
    </row>
    <row r="14">
      <c r="A14" s="4" t="inlineStr">
        <is>
          <t>Seguros (CFSE, otros)</t>
        </is>
      </c>
      <c r="B14" s="5" t="n"/>
      <c r="C14" s="6" t="n">
        <v>250</v>
      </c>
    </row>
    <row r="15">
      <c r="A15" s="4" t="inlineStr">
        <is>
          <t>Servicios (luz, agua, internet)</t>
        </is>
      </c>
      <c r="B15" s="5" t="n"/>
      <c r="C15" s="6" t="n">
        <v>480</v>
      </c>
    </row>
    <row r="16">
      <c r="A16" s="4" t="inlineStr">
        <is>
          <t>Software / suscripciones</t>
        </is>
      </c>
      <c r="B16" s="5" t="n"/>
      <c r="C16" s="6" t="n">
        <v>120</v>
      </c>
    </row>
    <row r="17">
      <c r="A17" s="4" t="inlineStr">
        <is>
          <t>Préstamos / financiamiento</t>
        </is>
      </c>
      <c r="B17" s="5" t="n"/>
      <c r="C17" s="6" t="n">
        <v>0</v>
      </c>
    </row>
    <row r="18">
      <c r="A18" s="4" t="inlineStr">
        <is>
          <t>Otro fijo</t>
        </is>
      </c>
      <c r="B18" s="5" t="n"/>
      <c r="C18" s="6" t="n">
        <v>0</v>
      </c>
    </row>
    <row r="19">
      <c r="A19" s="7" t="inlineStr">
        <is>
          <t>TOTAL GASTOS FIJOS</t>
        </is>
      </c>
      <c r="B19" s="5" t="n"/>
      <c r="C19" s="8">
        <f>SUM(C12:C18)</f>
        <v/>
      </c>
    </row>
    <row r="21" ht="20" customHeight="1">
      <c r="A21" s="3" t="inlineStr">
        <is>
          <t>③ GASTOS VARIABLES (cambian con las ventas)</t>
        </is>
      </c>
    </row>
    <row r="22">
      <c r="A22" s="4" t="inlineStr">
        <is>
          <t>Materiales / inventario</t>
        </is>
      </c>
      <c r="B22" s="5" t="n"/>
      <c r="C22" s="6" t="n">
        <v>1800</v>
      </c>
    </row>
    <row r="23">
      <c r="A23" s="4" t="inlineStr">
        <is>
          <t>Comisiones</t>
        </is>
      </c>
      <c r="B23" s="5" t="n"/>
      <c r="C23" s="6" t="n">
        <v>300</v>
      </c>
    </row>
    <row r="24">
      <c r="A24" s="4" t="inlineStr">
        <is>
          <t>Mercadeo / publicidad</t>
        </is>
      </c>
      <c r="B24" s="5" t="n"/>
      <c r="C24" s="6" t="n">
        <v>400</v>
      </c>
    </row>
    <row r="25">
      <c r="A25" s="4" t="inlineStr">
        <is>
          <t>Transporte / combustible</t>
        </is>
      </c>
      <c r="B25" s="5" t="n"/>
      <c r="C25" s="6" t="n">
        <v>250</v>
      </c>
    </row>
    <row r="26">
      <c r="A26" s="4" t="inlineStr">
        <is>
          <t>Otro variable</t>
        </is>
      </c>
      <c r="B26" s="5" t="n"/>
      <c r="C26" s="6" t="n">
        <v>0</v>
      </c>
    </row>
    <row r="27">
      <c r="A27" s="7" t="inlineStr">
        <is>
          <t>TOTAL GASTOS VARIABLES</t>
        </is>
      </c>
      <c r="B27" s="5" t="n"/>
      <c r="C27" s="8">
        <f>SUM(C22:C26)</f>
        <v/>
      </c>
    </row>
    <row r="29" ht="20" customHeight="1">
      <c r="A29" s="9" t="inlineStr">
        <is>
          <t>④ RESULTADO</t>
        </is>
      </c>
    </row>
    <row r="30">
      <c r="A30" s="7" t="inlineStr">
        <is>
          <t>Total de gastos</t>
        </is>
      </c>
      <c r="B30" s="5" t="n"/>
      <c r="C30" s="8">
        <f>C19+C27</f>
        <v/>
      </c>
    </row>
    <row r="31">
      <c r="A31" s="7" t="inlineStr">
        <is>
          <t>GANANCIA / (PÉRDIDA) NETA</t>
        </is>
      </c>
      <c r="B31" s="5" t="n"/>
      <c r="C31" s="10">
        <f>C9-C30</f>
        <v/>
      </c>
    </row>
    <row r="32">
      <c r="A32" s="7" t="inlineStr">
        <is>
          <t>Margen de ganancia</t>
        </is>
      </c>
      <c r="B32" s="5" t="n"/>
      <c r="C32" s="11">
        <f>IF(C9=0,0,C31/C9)</f>
        <v/>
      </c>
    </row>
    <row r="33">
      <c r="A33" s="4" t="inlineStr">
        <is>
          <t>Retiro del dueño (lo que sacas para ti)</t>
        </is>
      </c>
      <c r="B33" s="5" t="n"/>
      <c r="C33" s="6" t="n">
        <v>2500</v>
      </c>
    </row>
    <row r="34">
      <c r="A34" s="7" t="inlineStr">
        <is>
          <t>Queda en el negocio (después de tu retiro)</t>
        </is>
      </c>
      <c r="B34" s="5" t="n"/>
      <c r="C34" s="12">
        <f>C31-C33</f>
        <v/>
      </c>
    </row>
  </sheetData>
  <mergeCells count="30">
    <mergeCell ref="A24:B24"/>
    <mergeCell ref="A30:B30"/>
    <mergeCell ref="A15:B15"/>
    <mergeCell ref="A21:C21"/>
    <mergeCell ref="A6:B6"/>
    <mergeCell ref="A2:C2"/>
    <mergeCell ref="A16:B16"/>
    <mergeCell ref="A7:B7"/>
    <mergeCell ref="A25:B25"/>
    <mergeCell ref="A18:B18"/>
    <mergeCell ref="A4:C4"/>
    <mergeCell ref="A27:B27"/>
    <mergeCell ref="A29:C29"/>
    <mergeCell ref="A12:B12"/>
    <mergeCell ref="A26:B26"/>
    <mergeCell ref="A33:B33"/>
    <mergeCell ref="A5:B5"/>
    <mergeCell ref="A32:B32"/>
    <mergeCell ref="A14:B14"/>
    <mergeCell ref="A17:B17"/>
    <mergeCell ref="A23:B23"/>
    <mergeCell ref="A8:B8"/>
    <mergeCell ref="A22:B22"/>
    <mergeCell ref="A11:C11"/>
    <mergeCell ref="A1:C1"/>
    <mergeCell ref="A19:B19"/>
    <mergeCell ref="A13:B13"/>
    <mergeCell ref="A9:B9"/>
    <mergeCell ref="A31:B31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8" customWidth="1" min="3" max="3"/>
  </cols>
  <sheetData>
    <row r="1" ht="26" customHeight="1">
      <c r="A1" s="1" t="inlineStr">
        <is>
          <t>PUNTO DE EQUILIBRIO — ¿Cuánto tienes que vender para no perder?</t>
        </is>
      </c>
    </row>
    <row r="2" ht="16" customHeight="1">
      <c r="A2" s="2" t="inlineStr">
        <is>
          <t>Kit de Claridad · Toma tus gastos fijos de la Radiografía. Ajusta el margen de contribución.</t>
        </is>
      </c>
    </row>
    <row r="4">
      <c r="A4" s="4" t="inlineStr">
        <is>
          <t>Gastos fijos del mes</t>
        </is>
      </c>
      <c r="C4" s="13">
        <f>R_GFIJOS</f>
        <v/>
      </c>
    </row>
    <row r="5">
      <c r="A5" s="4" t="inlineStr">
        <is>
          <t>Margen de contribución % (por cada $1 de venta, cuánto queda)</t>
        </is>
      </c>
      <c r="C5" s="14" t="n">
        <v>0.55</v>
      </c>
    </row>
    <row r="7">
      <c r="A7" s="7" t="inlineStr">
        <is>
          <t>PUNTO DE EQUILIBRIO (ventas para no perder)</t>
        </is>
      </c>
      <c r="C7" s="15">
        <f>IF(C5=0,0,C4/C5)</f>
        <v/>
      </c>
    </row>
    <row r="8">
      <c r="A8" s="4" t="inlineStr">
        <is>
          <t>Ventas actuales del mes</t>
        </is>
      </c>
      <c r="C8" s="13">
        <f>R_INGRESOS</f>
        <v/>
      </c>
    </row>
    <row r="9">
      <c r="A9" s="7" t="inlineStr">
        <is>
          <t>¿Cuánto te falta (o sobra) vs. el punto de equilibrio?</t>
        </is>
      </c>
      <c r="C9" s="16">
        <f>C8-C7</f>
        <v/>
      </c>
    </row>
    <row r="11">
      <c r="A11" s="7" t="inlineStr">
        <is>
          <t>Diagnóstico</t>
        </is>
      </c>
      <c r="C11" s="17">
        <f>IF(C8&gt;=C7,"✓ Estás sobre el punto de equilibrio","⚠ Estás vendiendo por debajo del punto de equilibrio")</f>
        <v/>
      </c>
    </row>
  </sheetData>
  <mergeCells count="9">
    <mergeCell ref="A4:B4"/>
    <mergeCell ref="A7:B7"/>
    <mergeCell ref="A1:C1"/>
    <mergeCell ref="A11:B11"/>
    <mergeCell ref="A5:B5"/>
    <mergeCell ref="C11"/>
    <mergeCell ref="A9:B9"/>
    <mergeCell ref="A8:B8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16" customWidth="1" min="4" max="4"/>
  </cols>
  <sheetData>
    <row r="1" ht="26" customHeight="1">
      <c r="A1" s="1" t="inlineStr">
        <is>
          <t>TABLERO DE NÚMEROS CLAVE Y ORDEN</t>
        </is>
      </c>
    </row>
    <row r="2" ht="16" customHeight="1">
      <c r="A2" s="2" t="inlineStr">
        <is>
          <t>Kit de Claridad · Vista rápida del negocio + chequeo personal vs. negocio.</t>
        </is>
      </c>
    </row>
    <row r="4">
      <c r="A4" s="18" t="inlineStr">
        <is>
          <t>NÚMEROS CLAVE DEL MES</t>
        </is>
      </c>
    </row>
    <row r="5">
      <c r="A5" s="19" t="inlineStr">
        <is>
          <t>Ingresos totales</t>
        </is>
      </c>
      <c r="D5" s="20">
        <f>R_INGRESOS</f>
        <v/>
      </c>
    </row>
    <row r="6">
      <c r="A6" s="19" t="inlineStr">
        <is>
          <t>Gastos totales</t>
        </is>
      </c>
      <c r="D6" s="20">
        <f>R_GFIJOS+R_GVAR</f>
        <v/>
      </c>
    </row>
    <row r="7">
      <c r="A7" s="19" t="inlineStr">
        <is>
          <t>Ganancia neta</t>
        </is>
      </c>
      <c r="D7" s="20">
        <f>R_GANANCIA</f>
        <v/>
      </c>
    </row>
    <row r="8">
      <c r="A8" s="19" t="inlineStr">
        <is>
          <t>Margen de ganancia</t>
        </is>
      </c>
      <c r="D8" s="21">
        <f>IF(R_INGRESOS=0,0,R_GANANCIA/R_INGRESOS)</f>
        <v/>
      </c>
    </row>
    <row r="9">
      <c r="A9" s="19" t="inlineStr">
        <is>
          <t>Punto de equilibrio</t>
        </is>
      </c>
      <c r="D9" s="20">
        <f>'Punto de Equilibrio'!C7</f>
        <v/>
      </c>
    </row>
    <row r="11">
      <c r="A11" s="22" t="inlineStr">
        <is>
          <t>CHEQUEO DE ORDEN — Personal vs. Negocio</t>
        </is>
      </c>
    </row>
    <row r="12">
      <c r="A12" s="23" t="inlineStr">
        <is>
          <t>¿Tienes cuenta de banco SOLO del negocio?</t>
        </is>
      </c>
      <c r="B12" s="24" t="n"/>
      <c r="C12" s="5" t="n"/>
      <c r="D12" s="25" t="inlineStr">
        <is>
          <t>Sí / No</t>
        </is>
      </c>
    </row>
    <row r="13">
      <c r="A13" s="23" t="inlineStr">
        <is>
          <t>¿Te pagas un sueldo/retiro fijo (no sacas cuando sea)?</t>
        </is>
      </c>
      <c r="B13" s="24" t="n"/>
      <c r="C13" s="5" t="n"/>
      <c r="D13" s="25" t="inlineStr">
        <is>
          <t>Sí / No</t>
        </is>
      </c>
    </row>
    <row r="14">
      <c r="A14" s="23" t="inlineStr">
        <is>
          <t>¿La LLC está activa y al día en el Registro?</t>
        </is>
      </c>
      <c r="B14" s="24" t="n"/>
      <c r="C14" s="5" t="n"/>
      <c r="D14" s="25" t="inlineStr">
        <is>
          <t>Sí / No</t>
        </is>
      </c>
    </row>
    <row r="15">
      <c r="A15" s="23" t="inlineStr">
        <is>
          <t>¿Tienes EIN y registro de patrono (si tienes empleados)?</t>
        </is>
      </c>
      <c r="B15" s="24" t="n"/>
      <c r="C15" s="5" t="n"/>
      <c r="D15" s="25" t="inlineStr">
        <is>
          <t>Sí / No</t>
        </is>
      </c>
    </row>
    <row r="16">
      <c r="A16" s="23" t="inlineStr">
        <is>
          <t>¿Guardas los recibos y facturas del negocio?</t>
        </is>
      </c>
      <c r="B16" s="24" t="n"/>
      <c r="C16" s="5" t="n"/>
      <c r="D16" s="25" t="inlineStr">
        <is>
          <t>Sí / No</t>
        </is>
      </c>
    </row>
    <row r="17">
      <c r="A17" s="23" t="inlineStr">
        <is>
          <t>¿Sabes cuánto debes separar para contribuciones?</t>
        </is>
      </c>
      <c r="B17" s="24" t="n"/>
      <c r="C17" s="5" t="n"/>
      <c r="D17" s="25" t="inlineStr">
        <is>
          <t>Sí / No</t>
        </is>
      </c>
    </row>
    <row r="19">
      <c r="A19" s="26" t="inlineStr">
        <is>
          <t>Si respondiste “No” a dos o más, ese es tu primer plan de acción. El Kit de Cumplimiento te ayuda a poner cada punto en orden.</t>
        </is>
      </c>
    </row>
    <row r="20"/>
    <row r="21"/>
  </sheetData>
  <mergeCells count="16">
    <mergeCell ref="A1:D1"/>
    <mergeCell ref="A13:C13"/>
    <mergeCell ref="A5:C5"/>
    <mergeCell ref="A4:D4"/>
    <mergeCell ref="A8:C8"/>
    <mergeCell ref="A14:C14"/>
    <mergeCell ref="A6:C6"/>
    <mergeCell ref="A19:D21"/>
    <mergeCell ref="A17:C17"/>
    <mergeCell ref="A9:C9"/>
    <mergeCell ref="A2:D2"/>
    <mergeCell ref="A11:D11"/>
    <mergeCell ref="A12:C12"/>
    <mergeCell ref="A7:C7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2026-07-16T23:41:04Z</dcterms:created>
  <dcterms:modified xsi:type="dcterms:W3CDTF">2026-07-16T23:41:04Z</dcterms:modified>
</cp:coreProperties>
</file>