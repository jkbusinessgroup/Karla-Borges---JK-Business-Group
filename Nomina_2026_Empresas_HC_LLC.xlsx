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 2026" sheetId="1" state="visible" r:id="rId1"/>
    <sheet name="Nómina W-2" sheetId="2" state="visible" r:id="rId2"/>
    <sheet name="Contratistas 1099" sheetId="3" state="visible" r:id="rId3"/>
    <sheet name="Bono Navidad" sheetId="4" state="visible" r:id="rId4"/>
    <sheet name="Resumen y Cumplimiento" sheetId="5" state="visible" r:id="rId5"/>
  </sheets>
  <definedNames>
    <definedName name="SAL_MIN">'Parametros 2026'!$C$5</definedName>
    <definedName name="OT_MULT">'Parametros 2026'!$C$6</definedName>
    <definedName name="MEAL_MULT">'Parametros 2026'!$C$7</definedName>
    <definedName name="SS_PCT">'Parametros 2026'!$C$8</definedName>
    <definedName name="SS_BASE">'Parametros 2026'!$C$9</definedName>
    <definedName name="MED_PCT">'Parametros 2026'!$C$10</definedName>
    <definedName name="MED_ADD">'Parametros 2026'!$C$11</definedName>
    <definedName name="SINOT_PCT">'Parametros 2026'!$C$12</definedName>
    <definedName name="SINOT_BASE">'Parametros 2026'!$C$13</definedName>
    <definedName name="FUTA_PCT">'Parametros 2026'!$C$14</definedName>
    <definedName name="SUTA_PCT">'Parametros 2026'!$C$15</definedName>
    <definedName name="UI_BASE">'Parametros 2026'!$C$16</definedName>
    <definedName name="CHOFER_WK">'Parametros 2026'!$C$17</definedName>
    <definedName name="BONO_PCT_G">'Parametros 2026'!$C$18</definedName>
    <definedName name="BONO_PCT_P">'Parametros 2026'!$C$19</definedName>
    <definedName name="BONO_TOPE">'Parametros 2026'!$C$20</definedName>
    <definedName name="BONO_HRS">'Parametros 2026'!$C$21</definedName>
    <definedName name="RET_1099">'Parametros 2026'!$C$22</definedName>
    <definedName name="EXEN_1099">'Parametros 2026'!$C$23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3A5F"/>
      <sz val="9"/>
    </font>
    <font>
      <sz val="9"/>
    </font>
    <font>
      <b val="1"/>
      <color rgb="00FFFFFF"/>
      <sz val="10"/>
    </font>
    <font>
      <b val="1"/>
      <color rgb="001F3A5F"/>
      <sz val="9"/>
    </font>
    <font>
      <i val="1"/>
      <color rgb="00555555"/>
      <sz val="8"/>
    </font>
    <font>
      <b val="1"/>
      <color rgb="002E7D4F"/>
      <sz val="9"/>
    </font>
    <font>
      <b val="1"/>
      <color rgb="00FFFFFF"/>
    </font>
    <font>
      <b val="1"/>
      <color rgb="00FFFFFF"/>
      <sz val="9"/>
    </font>
    <font>
      <b val="1"/>
      <color rgb="00B8860B"/>
      <sz val="9"/>
    </font>
    <font>
      <b val="1"/>
      <color rgb="00FFFFFF"/>
      <sz val="11"/>
    </font>
    <font>
      <sz val="10"/>
    </font>
    <font>
      <b val="1"/>
      <color rgb="001F3A5F"/>
      <sz val="10"/>
    </font>
    <font>
      <color rgb="00444444"/>
      <sz val="9"/>
    </font>
    <font>
      <i val="1"/>
      <color rgb="008A5A00"/>
      <sz val="8"/>
    </font>
  </fonts>
  <fills count="1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2E5E8C"/>
      </patternFill>
    </fill>
    <fill>
      <patternFill patternType="solid">
        <fgColor rgb="00FFF3C4"/>
      </patternFill>
    </fill>
    <fill>
      <patternFill patternType="solid">
        <fgColor rgb="00FFFDF0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2E7D4F"/>
      </patternFill>
    </fill>
    <fill>
      <patternFill patternType="solid">
        <fgColor rgb="00F0FAF3"/>
      </patternFill>
    </fill>
    <fill>
      <patternFill patternType="solid">
        <fgColor rgb="00EAF6EE"/>
      </patternFill>
    </fill>
    <fill>
      <patternFill patternType="solid">
        <fgColor rgb="00B8860B"/>
      </patternFill>
    </fill>
    <fill>
      <patternFill patternType="solid">
        <fgColor rgb="00FFF8E7"/>
      </patternFill>
    </fill>
    <fill>
      <patternFill patternType="solid">
        <fgColor rgb="00FCF3D9"/>
      </patternFill>
    </fill>
  </fills>
  <borders count="6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  <border>
      <left/>
      <right/>
      <top style="thin">
        <color rgb="00B0B8C4"/>
      </top>
      <bottom/>
      <diagonal/>
    </border>
    <border>
      <left/>
      <right style="thin">
        <color rgb="00B0B8C4"/>
      </right>
      <top style="thin">
        <color rgb="00B0B8C4"/>
      </top>
      <bottom/>
      <diagonal/>
    </border>
    <border>
      <left/>
      <right/>
      <top style="thin">
        <color rgb="00B0B8C4"/>
      </top>
      <bottom style="thin">
        <color rgb="00B0B8C4"/>
      </bottom>
      <diagonal/>
    </border>
    <border>
      <left/>
      <right style="thin">
        <color rgb="00B0B8C4"/>
      </right>
      <top style="thin">
        <color rgb="00B0B8C4"/>
      </top>
      <bottom style="thin">
        <color rgb="00B0B8C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3" fillId="0" borderId="1" pivotButton="0" quotePrefix="0" xfId="0"/>
    <xf numFmtId="4" fontId="3" fillId="5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10" fontId="3" fillId="5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3" fillId="6" borderId="1" pivotButton="0" quotePrefix="0" xfId="0"/>
    <xf numFmtId="164" fontId="3" fillId="7" borderId="1" pivotButton="0" quotePrefix="0" xfId="0"/>
    <xf numFmtId="164" fontId="3" fillId="6" borderId="1" pivotButton="0" quotePrefix="0" xfId="0"/>
    <xf numFmtId="164" fontId="3" fillId="8" borderId="1" pivotButton="0" quotePrefix="0" xfId="0"/>
    <xf numFmtId="164" fontId="7" fillId="7" borderId="1" pivotButton="0" quotePrefix="0" xfId="0"/>
    <xf numFmtId="164" fontId="5" fillId="8" borderId="1" pivotButton="0" quotePrefix="0" xfId="0"/>
    <xf numFmtId="0" fontId="8" fillId="2" borderId="1" pivotButton="0" quotePrefix="0" xfId="0"/>
    <xf numFmtId="0" fontId="0" fillId="2" borderId="1" pivotButton="0" quotePrefix="0" xfId="0"/>
    <xf numFmtId="164" fontId="9" fillId="2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3" fillId="10" borderId="1" pivotButton="0" quotePrefix="0" xfId="0"/>
    <xf numFmtId="164" fontId="3" fillId="10" borderId="1" pivotButton="0" quotePrefix="0" xfId="0"/>
    <xf numFmtId="164" fontId="3" fillId="11" borderId="1" pivotButton="0" quotePrefix="0" xfId="0"/>
    <xf numFmtId="164" fontId="7" fillId="8" borderId="1" pivotButton="0" quotePrefix="0" xfId="0"/>
    <xf numFmtId="0" fontId="3" fillId="11" borderId="1" pivotButton="0" quotePrefix="0" xfId="0"/>
    <xf numFmtId="0" fontId="8" fillId="9" borderId="1" pivotButton="0" quotePrefix="0" xfId="0"/>
    <xf numFmtId="0" fontId="0" fillId="9" borderId="1" pivotButton="0" quotePrefix="0" xfId="0"/>
    <xf numFmtId="164" fontId="9" fillId="9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3" fillId="13" borderId="1" pivotButton="0" quotePrefix="0" xfId="0"/>
    <xf numFmtId="164" fontId="3" fillId="13" borderId="1" pivotButton="0" quotePrefix="0" xfId="0"/>
    <xf numFmtId="0" fontId="3" fillId="14" borderId="1" pivotButton="0" quotePrefix="0" xfId="0"/>
    <xf numFmtId="10" fontId="3" fillId="14" borderId="1" pivotButton="0" quotePrefix="0" xfId="0"/>
    <xf numFmtId="164" fontId="10" fillId="14" borderId="1" pivotButton="0" quotePrefix="0" xfId="0"/>
    <xf numFmtId="0" fontId="8" fillId="12" borderId="1" pivotButton="0" quotePrefix="0" xfId="0"/>
    <xf numFmtId="0" fontId="0" fillId="12" borderId="1" pivotButton="0" quotePrefix="0" xfId="0"/>
    <xf numFmtId="164" fontId="9" fillId="12" borderId="1" pivotButton="0" quotePrefix="0" xfId="0"/>
    <xf numFmtId="0" fontId="11" fillId="4" borderId="0" pivotButton="0" quotePrefix="0" xfId="0"/>
    <xf numFmtId="0" fontId="1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13" fillId="8" borderId="1" pivotButton="0" quotePrefix="0" xfId="0"/>
    <xf numFmtId="0" fontId="11" fillId="9" borderId="0" pivotButton="0" quotePrefix="0" xfId="0"/>
    <xf numFmtId="0" fontId="9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0" borderId="1" pivotButton="0" quotePrefix="0" xfId="0"/>
    <xf numFmtId="0" fontId="15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3" customWidth="1" min="3" max="3"/>
    <col width="46" customWidth="1" min="4" max="4"/>
  </cols>
  <sheetData>
    <row r="1" ht="26" customHeight="1">
      <c r="A1" s="1" t="inlineStr">
        <is>
          <t>PARÁMETROS Y TASAS DE NÓMINA — 2026</t>
        </is>
      </c>
    </row>
    <row r="2" ht="16" customHeight="1">
      <c r="A2" s="2" t="inlineStr">
        <is>
          <t>Empresas HC LLC · Puerto Rico · Edite SOLO las celdas amarillas. Todas las hojas leen estas tasas.</t>
        </is>
      </c>
    </row>
    <row r="4">
      <c r="A4" s="3" t="inlineStr">
        <is>
          <t>SECCIÓN</t>
        </is>
      </c>
      <c r="B4" s="3" t="inlineStr">
        <is>
          <t>CONCEPTO</t>
        </is>
      </c>
      <c r="C4" s="3" t="inlineStr">
        <is>
          <t>VALOR</t>
        </is>
      </c>
      <c r="D4" s="3" t="inlineStr">
        <is>
          <t>NOTA / FUENTE</t>
        </is>
      </c>
    </row>
    <row r="5">
      <c r="A5" s="4" t="inlineStr">
        <is>
          <t>Salario</t>
        </is>
      </c>
      <c r="B5" s="5" t="inlineStr">
        <is>
          <t>Salario mínimo por hora (PR)</t>
        </is>
      </c>
      <c r="C5" s="6" t="n">
        <v>10.5</v>
      </c>
      <c r="D5" s="7" t="inlineStr">
        <is>
          <t>Ley 47-2021. Vigente 2026: $10.50/h</t>
        </is>
      </c>
    </row>
    <row r="6">
      <c r="A6" s="4" t="inlineStr">
        <is>
          <t>Salario</t>
        </is>
      </c>
      <c r="B6" s="5" t="inlineStr">
        <is>
          <t>Multiplicador horas extra</t>
        </is>
      </c>
      <c r="C6" s="6" t="n">
        <v>2</v>
      </c>
      <c r="D6" s="7" t="inlineStr">
        <is>
          <t>Ley 379-1948: &gt;8h/día ó &gt;40h/sem = 2x (doble)</t>
        </is>
      </c>
    </row>
    <row r="7">
      <c r="A7" s="4" t="inlineStr">
        <is>
          <t>Salario</t>
        </is>
      </c>
      <c r="B7" s="5" t="inlineStr">
        <is>
          <t>Multiplicador período de comida trabajado</t>
        </is>
      </c>
      <c r="C7" s="6" t="n">
        <v>1.5</v>
      </c>
      <c r="D7" s="7" t="inlineStr">
        <is>
          <t>Ley 379: comida trabajada = 1.5x</t>
        </is>
      </c>
    </row>
    <row r="8">
      <c r="A8" s="4" t="inlineStr">
        <is>
          <t>Seguro Social</t>
        </is>
      </c>
      <c r="B8" s="5" t="inlineStr">
        <is>
          <t>SS % (empleado y patrono c/u)</t>
        </is>
      </c>
      <c r="C8" s="8" t="n">
        <v>0.062</v>
      </c>
      <c r="D8" s="7" t="inlineStr">
        <is>
          <t>FICA federal 6.2% cada parte</t>
        </is>
      </c>
    </row>
    <row r="9">
      <c r="A9" s="4" t="inlineStr">
        <is>
          <t>Seguro Social</t>
        </is>
      </c>
      <c r="B9" s="5" t="inlineStr">
        <is>
          <t>Base salarial anual SS</t>
        </is>
      </c>
      <c r="C9" s="6" t="n">
        <v>176100</v>
      </c>
      <c r="D9" s="7" t="inlineStr">
        <is>
          <t>Tope 2025=$176,100. VERIFICAR base 2026 (SSA)</t>
        </is>
      </c>
    </row>
    <row r="10">
      <c r="A10" s="4" t="inlineStr">
        <is>
          <t>Medicare</t>
        </is>
      </c>
      <c r="B10" s="5" t="inlineStr">
        <is>
          <t>Medicare % (empleado y patrono c/u)</t>
        </is>
      </c>
      <c r="C10" s="8" t="n">
        <v>0.0145</v>
      </c>
      <c r="D10" s="7" t="inlineStr">
        <is>
          <t>FICA 1.45% cada parte (sin tope)</t>
        </is>
      </c>
    </row>
    <row r="11">
      <c r="A11" s="4" t="inlineStr">
        <is>
          <t>Medicare</t>
        </is>
      </c>
      <c r="B11" s="5" t="inlineStr">
        <is>
          <t>Medicare adicional % (empleado)</t>
        </is>
      </c>
      <c r="C11" s="8" t="n">
        <v>0.008999999999999999</v>
      </c>
      <c r="D11" s="7" t="inlineStr">
        <is>
          <t>0.9% sobre exceso de $200,000 (solo empleado)</t>
        </is>
      </c>
    </row>
    <row r="12">
      <c r="A12" s="4" t="inlineStr">
        <is>
          <t>SINOT</t>
        </is>
      </c>
      <c r="B12" s="5" t="inlineStr">
        <is>
          <t>SINOT % (empleado y patrono c/u)</t>
        </is>
      </c>
      <c r="C12" s="8" t="n">
        <v>0.003</v>
      </c>
      <c r="D12" s="7" t="inlineStr">
        <is>
          <t>0.3% cada parte sobre primeros $9,000 (DTRH)</t>
        </is>
      </c>
    </row>
    <row r="13">
      <c r="A13" s="4" t="inlineStr">
        <is>
          <t>SINOT</t>
        </is>
      </c>
      <c r="B13" s="5" t="inlineStr">
        <is>
          <t>Base salarial anual SINOT</t>
        </is>
      </c>
      <c r="C13" s="6" t="n">
        <v>9000</v>
      </c>
      <c r="D13" s="7" t="inlineStr">
        <is>
          <t>Primeros $9,000 del año</t>
        </is>
      </c>
    </row>
    <row r="14">
      <c r="A14" s="4" t="inlineStr">
        <is>
          <t>Desempleo</t>
        </is>
      </c>
      <c r="B14" s="5" t="inlineStr">
        <is>
          <t>FUTA % neto (patrono)</t>
        </is>
      </c>
      <c r="C14" s="8" t="n">
        <v>0.006</v>
      </c>
      <c r="D14" s="7" t="inlineStr">
        <is>
          <t>6% menos crédito 5.4% = 0.6% sobre $7,000</t>
        </is>
      </c>
    </row>
    <row r="15">
      <c r="A15" s="4" t="inlineStr">
        <is>
          <t>Desempleo</t>
        </is>
      </c>
      <c r="B15" s="5" t="inlineStr">
        <is>
          <t>SUTA % (patrono) — TASA ASIGNADA</t>
        </is>
      </c>
      <c r="C15" s="8" t="n">
        <v>0.028</v>
      </c>
      <c r="D15" s="7" t="inlineStr">
        <is>
          <t>EDITAR: tasa que le asigna el DTRH a HC LLC</t>
        </is>
      </c>
    </row>
    <row r="16">
      <c r="A16" s="4" t="inlineStr">
        <is>
          <t>Desempleo</t>
        </is>
      </c>
      <c r="B16" s="5" t="inlineStr">
        <is>
          <t>Base salarial anual desempleo</t>
        </is>
      </c>
      <c r="C16" s="6" t="n">
        <v>7000</v>
      </c>
      <c r="D16" s="7" t="inlineStr">
        <is>
          <t>Primeros $7,000 (FUTA/SUTA)</t>
        </is>
      </c>
    </row>
    <row r="17">
      <c r="A17" s="4" t="inlineStr">
        <is>
          <t>Chofer</t>
        </is>
      </c>
      <c r="B17" s="5" t="inlineStr">
        <is>
          <t>Seguro Choferil (patrono) $/semana x chofer</t>
        </is>
      </c>
      <c r="C17" s="8" t="n">
        <v>0.3</v>
      </c>
      <c r="D17" s="7" t="inlineStr">
        <is>
          <t>Aplica solo a empleados que conducen</t>
        </is>
      </c>
    </row>
    <row r="18">
      <c r="A18" s="4" t="inlineStr">
        <is>
          <t>Bono Navidad</t>
        </is>
      </c>
      <c r="B18" s="5" t="inlineStr">
        <is>
          <t>Bono % (patrono &gt;15 empleados)</t>
        </is>
      </c>
      <c r="C18" s="8" t="n">
        <v>0.06</v>
      </c>
      <c r="D18" s="7" t="inlineStr">
        <is>
          <t>Ley 148 enm. Ley 4-2017: 6% si &gt;15 empl.</t>
        </is>
      </c>
    </row>
    <row r="19">
      <c r="A19" s="4" t="inlineStr">
        <is>
          <t>Bono Navidad</t>
        </is>
      </c>
      <c r="B19" s="5" t="inlineStr">
        <is>
          <t>Bono % (patrono ≤15 empleados)</t>
        </is>
      </c>
      <c r="C19" s="8" t="n">
        <v>0.03</v>
      </c>
      <c r="D19" s="7" t="inlineStr">
        <is>
          <t>3% si 15 o menos empleados</t>
        </is>
      </c>
    </row>
    <row r="20">
      <c r="A20" s="4" t="inlineStr">
        <is>
          <t>Bono Navidad</t>
        </is>
      </c>
      <c r="B20" s="5" t="inlineStr">
        <is>
          <t>Tope salario base del bono</t>
        </is>
      </c>
      <c r="C20" s="6" t="n">
        <v>10000</v>
      </c>
      <c r="D20" s="7" t="inlineStr">
        <is>
          <t>Bono se calcula sobre máx. $10,000</t>
        </is>
      </c>
    </row>
    <row r="21">
      <c r="A21" s="4" t="inlineStr">
        <is>
          <t>Bono Navidad</t>
        </is>
      </c>
      <c r="B21" s="5" t="inlineStr">
        <is>
          <t>Horas mínimas para cualificar (contratados post-2017)</t>
        </is>
      </c>
      <c r="C21" s="6" t="n">
        <v>1350</v>
      </c>
      <c r="D21" s="7" t="inlineStr">
        <is>
          <t>700h si contratado antes 26-ene-2017</t>
        </is>
      </c>
    </row>
    <row r="22">
      <c r="A22" s="4" t="inlineStr">
        <is>
          <t>Contratistas</t>
        </is>
      </c>
      <c r="B22" s="5" t="inlineStr">
        <is>
          <t>Retención servicios 1099 %</t>
        </is>
      </c>
      <c r="C22" s="8" t="n">
        <v>0.1</v>
      </c>
      <c r="D22" s="7" t="inlineStr">
        <is>
          <t>10% sobre servicios prestados (Hacienda)</t>
        </is>
      </c>
    </row>
    <row r="23">
      <c r="A23" s="4" t="inlineStr">
        <is>
          <t>Contratistas</t>
        </is>
      </c>
      <c r="B23" s="5" t="inlineStr">
        <is>
          <t>Exención anual antes de retener</t>
        </is>
      </c>
      <c r="C23" s="6" t="n">
        <v>500</v>
      </c>
      <c r="D23" s="7" t="inlineStr">
        <is>
          <t>Primeros $500/año exentos por contratista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10" customWidth="1" min="5" max="5"/>
    <col width="9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1" customWidth="1" min="14" max="14"/>
    <col width="14" customWidth="1" min="15" max="15"/>
    <col width="12" customWidth="1" min="16" max="16"/>
    <col width="13" customWidth="1" min="17" max="17"/>
    <col width="12" customWidth="1" min="18" max="18"/>
    <col width="13" customWidth="1" min="19" max="19"/>
    <col width="10" customWidth="1" min="20" max="20"/>
    <col width="10" customWidth="1" min="21" max="21"/>
    <col width="12" customWidth="1" min="22" max="22"/>
    <col width="16" customWidth="1" min="23" max="23"/>
  </cols>
  <sheetData>
    <row r="1" ht="26" customHeight="1">
      <c r="A1" s="1" t="inlineStr">
        <is>
          <t>REGISTRO DE NÓMINA — EMPLEADOS W-2</t>
        </is>
      </c>
    </row>
    <row r="2" ht="16" customHeight="1">
      <c r="A2" s="2" t="inlineStr">
        <is>
          <t>Ingrese celdas amarillas (A–H, O). Columnas azules se calculan solas. Topes anuales aplicados con Bruto YTD anterior.</t>
        </is>
      </c>
    </row>
    <row r="3" ht="40" customHeight="1">
      <c r="A3" s="9" t="inlineStr">
        <is>
          <t>Empleado</t>
        </is>
      </c>
      <c r="B3" s="9" t="inlineStr">
        <is>
          <t>ID/SSN (últ. 4)</t>
        </is>
      </c>
      <c r="C3" s="9" t="inlineStr">
        <is>
          <t>Puesto</t>
        </is>
      </c>
      <c r="D3" s="9" t="inlineStr">
        <is>
          <t>Fecha ingreso</t>
        </is>
      </c>
      <c r="E3" s="9" t="inlineStr">
        <is>
          <t>Tarifa/hora</t>
        </is>
      </c>
      <c r="F3" s="9" t="inlineStr">
        <is>
          <t>Horas reg.</t>
        </is>
      </c>
      <c r="G3" s="9" t="inlineStr">
        <is>
          <t>Horas extra (2x)</t>
        </is>
      </c>
      <c r="H3" s="9" t="inlineStr">
        <is>
          <t>Bruto YTD anterior</t>
        </is>
      </c>
      <c r="I3" s="9" t="inlineStr">
        <is>
          <t>Salario regular</t>
        </is>
      </c>
      <c r="J3" s="9" t="inlineStr">
        <is>
          <t>Pago horas extra</t>
        </is>
      </c>
      <c r="K3" s="9" t="inlineStr">
        <is>
          <t>BRUTO período</t>
        </is>
      </c>
      <c r="L3" s="9" t="inlineStr">
        <is>
          <t>Seg. Social (emp)</t>
        </is>
      </c>
      <c r="M3" s="9" t="inlineStr">
        <is>
          <t>Medicare (emp)</t>
        </is>
      </c>
      <c r="N3" s="9" t="inlineStr">
        <is>
          <t>SINOT (emp)</t>
        </is>
      </c>
      <c r="O3" s="9" t="inlineStr">
        <is>
          <t>Retención PR (499R)</t>
        </is>
      </c>
      <c r="P3" s="9" t="inlineStr">
        <is>
          <t>Total deducc.</t>
        </is>
      </c>
      <c r="Q3" s="9" t="inlineStr">
        <is>
          <t>NETO A PAGAR</t>
        </is>
      </c>
      <c r="R3" s="9" t="inlineStr">
        <is>
          <t>SS patrono</t>
        </is>
      </c>
      <c r="S3" s="9" t="inlineStr">
        <is>
          <t>Medicare patrono</t>
        </is>
      </c>
      <c r="T3" s="9" t="inlineStr">
        <is>
          <t>FUTA</t>
        </is>
      </c>
      <c r="U3" s="9" t="inlineStr">
        <is>
          <t>SUTA</t>
        </is>
      </c>
      <c r="V3" s="9" t="inlineStr">
        <is>
          <t>SINOT patrono</t>
        </is>
      </c>
      <c r="W3" s="9" t="inlineStr">
        <is>
          <t>COSTO PATRONAL TOTAL</t>
        </is>
      </c>
    </row>
    <row r="4">
      <c r="A4" s="10" t="inlineStr">
        <is>
          <t>María Rodríguez (EJEMPLO)</t>
        </is>
      </c>
      <c r="B4" s="10" t="inlineStr">
        <is>
          <t>1234</t>
        </is>
      </c>
      <c r="C4" s="10" t="inlineStr">
        <is>
          <t>Administradora</t>
        </is>
      </c>
      <c r="D4" s="10" t="inlineStr">
        <is>
          <t>2023-03-01</t>
        </is>
      </c>
      <c r="E4" s="10" t="n">
        <v>18</v>
      </c>
      <c r="F4" s="10" t="n">
        <v>80</v>
      </c>
      <c r="G4" s="10" t="n">
        <v>5</v>
      </c>
      <c r="H4" s="10" t="n">
        <v>0</v>
      </c>
      <c r="I4" s="11">
        <f>E4*F4</f>
        <v/>
      </c>
      <c r="J4" s="11">
        <f>E4*OT_MULT*G4</f>
        <v/>
      </c>
      <c r="K4" s="11">
        <f>I4+J4</f>
        <v/>
      </c>
      <c r="L4" s="11">
        <f>MIN(K4,MAX(0,SS_BASE-H4))*SS_PCT</f>
        <v/>
      </c>
      <c r="M4" s="11">
        <f>K4*MED_PCT</f>
        <v/>
      </c>
      <c r="N4" s="11">
        <f>MIN(K4,MAX(0,SINOT_BASE-H4))*SINOT_PCT</f>
        <v/>
      </c>
      <c r="O4" s="12" t="n">
        <v>0</v>
      </c>
      <c r="P4" s="13">
        <f>L4+M4+N4+O4</f>
        <v/>
      </c>
      <c r="Q4" s="14">
        <f>K4-P4</f>
        <v/>
      </c>
      <c r="R4" s="11">
        <f>MIN(K4,MAX(0,SS_BASE-H4))*SS_PCT</f>
        <v/>
      </c>
      <c r="S4" s="11">
        <f>K4*MED_PCT</f>
        <v/>
      </c>
      <c r="T4" s="11">
        <f>MIN(K4,MAX(0,UI_BASE-H4))*FUTA_PCT</f>
        <v/>
      </c>
      <c r="U4" s="11">
        <f>MIN(K4,MAX(0,UI_BASE-H4))*SUTA_PCT</f>
        <v/>
      </c>
      <c r="V4" s="11">
        <f>MIN(K4,MAX(0,SINOT_BASE-H4))*SINOT_PCT</f>
        <v/>
      </c>
      <c r="W4" s="15">
        <f>K4+R4+S4+T4+U4+V4</f>
        <v/>
      </c>
    </row>
    <row r="5">
      <c r="A5" s="10" t="inlineStr">
        <is>
          <t>José Torres (EJEMPLO)</t>
        </is>
      </c>
      <c r="B5" s="10" t="inlineStr">
        <is>
          <t>5678</t>
        </is>
      </c>
      <c r="C5" s="10" t="inlineStr">
        <is>
          <t>Chofer/Reparto</t>
        </is>
      </c>
      <c r="D5" s="10" t="inlineStr">
        <is>
          <t>2021-07-15</t>
        </is>
      </c>
      <c r="E5" s="10" t="n">
        <v>12.5</v>
      </c>
      <c r="F5" s="10" t="n">
        <v>80</v>
      </c>
      <c r="G5" s="10" t="n">
        <v>8</v>
      </c>
      <c r="H5" s="10" t="n">
        <v>0</v>
      </c>
      <c r="I5" s="11">
        <f>E5*F5</f>
        <v/>
      </c>
      <c r="J5" s="11">
        <f>E5*OT_MULT*G5</f>
        <v/>
      </c>
      <c r="K5" s="11">
        <f>I5+J5</f>
        <v/>
      </c>
      <c r="L5" s="11">
        <f>MIN(K5,MAX(0,SS_BASE-H5))*SS_PCT</f>
        <v/>
      </c>
      <c r="M5" s="11">
        <f>K5*MED_PCT</f>
        <v/>
      </c>
      <c r="N5" s="11">
        <f>MIN(K5,MAX(0,SINOT_BASE-H5))*SINOT_PCT</f>
        <v/>
      </c>
      <c r="O5" s="12" t="n">
        <v>0</v>
      </c>
      <c r="P5" s="13">
        <f>L5+M5+N5+O5</f>
        <v/>
      </c>
      <c r="Q5" s="14">
        <f>K5-P5</f>
        <v/>
      </c>
      <c r="R5" s="11">
        <f>MIN(K5,MAX(0,SS_BASE-H5))*SS_PCT</f>
        <v/>
      </c>
      <c r="S5" s="11">
        <f>K5*MED_PCT</f>
        <v/>
      </c>
      <c r="T5" s="11">
        <f>MIN(K5,MAX(0,UI_BASE-H5))*FUTA_PCT</f>
        <v/>
      </c>
      <c r="U5" s="11">
        <f>MIN(K5,MAX(0,UI_BASE-H5))*SUTA_PCT</f>
        <v/>
      </c>
      <c r="V5" s="11">
        <f>MIN(K5,MAX(0,SINOT_BASE-H5))*SINOT_PCT</f>
        <v/>
      </c>
      <c r="W5" s="15">
        <f>K5+R5+S5+T5+U5+V5</f>
        <v/>
      </c>
    </row>
    <row r="6">
      <c r="A6" s="10" t="inlineStr">
        <is>
          <t>Ana Vega (EJEMPLO)</t>
        </is>
      </c>
      <c r="B6" s="10" t="inlineStr">
        <is>
          <t>9012</t>
        </is>
      </c>
      <c r="C6" s="10" t="inlineStr">
        <is>
          <t>Ventas</t>
        </is>
      </c>
      <c r="D6" s="10" t="inlineStr">
        <is>
          <t>2024-01-10</t>
        </is>
      </c>
      <c r="E6" s="10" t="n">
        <v>10.5</v>
      </c>
      <c r="F6" s="10" t="n">
        <v>72</v>
      </c>
      <c r="G6" s="10" t="n">
        <v>0</v>
      </c>
      <c r="H6" s="10" t="n">
        <v>0</v>
      </c>
      <c r="I6" s="11">
        <f>E6*F6</f>
        <v/>
      </c>
      <c r="J6" s="11">
        <f>E6*OT_MULT*G6</f>
        <v/>
      </c>
      <c r="K6" s="11">
        <f>I6+J6</f>
        <v/>
      </c>
      <c r="L6" s="11">
        <f>MIN(K6,MAX(0,SS_BASE-H6))*SS_PCT</f>
        <v/>
      </c>
      <c r="M6" s="11">
        <f>K6*MED_PCT</f>
        <v/>
      </c>
      <c r="N6" s="11">
        <f>MIN(K6,MAX(0,SINOT_BASE-H6))*SINOT_PCT</f>
        <v/>
      </c>
      <c r="O6" s="12" t="n">
        <v>0</v>
      </c>
      <c r="P6" s="13">
        <f>L6+M6+N6+O6</f>
        <v/>
      </c>
      <c r="Q6" s="14">
        <f>K6-P6</f>
        <v/>
      </c>
      <c r="R6" s="11">
        <f>MIN(K6,MAX(0,SS_BASE-H6))*SS_PCT</f>
        <v/>
      </c>
      <c r="S6" s="11">
        <f>K6*MED_PCT</f>
        <v/>
      </c>
      <c r="T6" s="11">
        <f>MIN(K6,MAX(0,UI_BASE-H6))*FUTA_PCT</f>
        <v/>
      </c>
      <c r="U6" s="11">
        <f>MIN(K6,MAX(0,UI_BASE-H6))*SUTA_PCT</f>
        <v/>
      </c>
      <c r="V6" s="11">
        <f>MIN(K6,MAX(0,SINOT_BASE-H6))*SINOT_PCT</f>
        <v/>
      </c>
      <c r="W6" s="15">
        <f>K6+R6+S6+T6+U6+V6</f>
        <v/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1">
        <f>E7*F7</f>
        <v/>
      </c>
      <c r="J7" s="11">
        <f>E7*OT_MULT*G7</f>
        <v/>
      </c>
      <c r="K7" s="11">
        <f>I7+J7</f>
        <v/>
      </c>
      <c r="L7" s="11">
        <f>MIN(K7,MAX(0,SS_BASE-H7))*SS_PCT</f>
        <v/>
      </c>
      <c r="M7" s="11">
        <f>K7*MED_PCT</f>
        <v/>
      </c>
      <c r="N7" s="11">
        <f>MIN(K7,MAX(0,SINOT_BASE-H7))*SINOT_PCT</f>
        <v/>
      </c>
      <c r="O7" s="12" t="n">
        <v>0</v>
      </c>
      <c r="P7" s="13">
        <f>L7+M7+N7+O7</f>
        <v/>
      </c>
      <c r="Q7" s="14">
        <f>K7-P7</f>
        <v/>
      </c>
      <c r="R7" s="11">
        <f>MIN(K7,MAX(0,SS_BASE-H7))*SS_PCT</f>
        <v/>
      </c>
      <c r="S7" s="11">
        <f>K7*MED_PCT</f>
        <v/>
      </c>
      <c r="T7" s="11">
        <f>MIN(K7,MAX(0,UI_BASE-H7))*FUTA_PCT</f>
        <v/>
      </c>
      <c r="U7" s="11">
        <f>MIN(K7,MAX(0,UI_BASE-H7))*SUTA_PCT</f>
        <v/>
      </c>
      <c r="V7" s="11">
        <f>MIN(K7,MAX(0,SINOT_BASE-H7))*SINOT_PCT</f>
        <v/>
      </c>
      <c r="W7" s="15">
        <f>K7+R7+S7+T7+U7+V7</f>
        <v/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1">
        <f>E8*F8</f>
        <v/>
      </c>
      <c r="J8" s="11">
        <f>E8*OT_MULT*G8</f>
        <v/>
      </c>
      <c r="K8" s="11">
        <f>I8+J8</f>
        <v/>
      </c>
      <c r="L8" s="11">
        <f>MIN(K8,MAX(0,SS_BASE-H8))*SS_PCT</f>
        <v/>
      </c>
      <c r="M8" s="11">
        <f>K8*MED_PCT</f>
        <v/>
      </c>
      <c r="N8" s="11">
        <f>MIN(K8,MAX(0,SINOT_BASE-H8))*SINOT_PCT</f>
        <v/>
      </c>
      <c r="O8" s="12" t="n">
        <v>0</v>
      </c>
      <c r="P8" s="13">
        <f>L8+M8+N8+O8</f>
        <v/>
      </c>
      <c r="Q8" s="14">
        <f>K8-P8</f>
        <v/>
      </c>
      <c r="R8" s="11">
        <f>MIN(K8,MAX(0,SS_BASE-H8))*SS_PCT</f>
        <v/>
      </c>
      <c r="S8" s="11">
        <f>K8*MED_PCT</f>
        <v/>
      </c>
      <c r="T8" s="11">
        <f>MIN(K8,MAX(0,UI_BASE-H8))*FUTA_PCT</f>
        <v/>
      </c>
      <c r="U8" s="11">
        <f>MIN(K8,MAX(0,UI_BASE-H8))*SUTA_PCT</f>
        <v/>
      </c>
      <c r="V8" s="11">
        <f>MIN(K8,MAX(0,SINOT_BASE-H8))*SINOT_PCT</f>
        <v/>
      </c>
      <c r="W8" s="15">
        <f>K8+R8+S8+T8+U8+V8</f>
        <v/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1">
        <f>E9*F9</f>
        <v/>
      </c>
      <c r="J9" s="11">
        <f>E9*OT_MULT*G9</f>
        <v/>
      </c>
      <c r="K9" s="11">
        <f>I9+J9</f>
        <v/>
      </c>
      <c r="L9" s="11">
        <f>MIN(K9,MAX(0,SS_BASE-H9))*SS_PCT</f>
        <v/>
      </c>
      <c r="M9" s="11">
        <f>K9*MED_PCT</f>
        <v/>
      </c>
      <c r="N9" s="11">
        <f>MIN(K9,MAX(0,SINOT_BASE-H9))*SINOT_PCT</f>
        <v/>
      </c>
      <c r="O9" s="12" t="n">
        <v>0</v>
      </c>
      <c r="P9" s="13">
        <f>L9+M9+N9+O9</f>
        <v/>
      </c>
      <c r="Q9" s="14">
        <f>K9-P9</f>
        <v/>
      </c>
      <c r="R9" s="11">
        <f>MIN(K9,MAX(0,SS_BASE-H9))*SS_PCT</f>
        <v/>
      </c>
      <c r="S9" s="11">
        <f>K9*MED_PCT</f>
        <v/>
      </c>
      <c r="T9" s="11">
        <f>MIN(K9,MAX(0,UI_BASE-H9))*FUTA_PCT</f>
        <v/>
      </c>
      <c r="U9" s="11">
        <f>MIN(K9,MAX(0,UI_BASE-H9))*SUTA_PCT</f>
        <v/>
      </c>
      <c r="V9" s="11">
        <f>MIN(K9,MAX(0,SINOT_BASE-H9))*SINOT_PCT</f>
        <v/>
      </c>
      <c r="W9" s="15">
        <f>K9+R9+S9+T9+U9+V9</f>
        <v/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1">
        <f>E10*F10</f>
        <v/>
      </c>
      <c r="J10" s="11">
        <f>E10*OT_MULT*G10</f>
        <v/>
      </c>
      <c r="K10" s="11">
        <f>I10+J10</f>
        <v/>
      </c>
      <c r="L10" s="11">
        <f>MIN(K10,MAX(0,SS_BASE-H10))*SS_PCT</f>
        <v/>
      </c>
      <c r="M10" s="11">
        <f>K10*MED_PCT</f>
        <v/>
      </c>
      <c r="N10" s="11">
        <f>MIN(K10,MAX(0,SINOT_BASE-H10))*SINOT_PCT</f>
        <v/>
      </c>
      <c r="O10" s="12" t="n">
        <v>0</v>
      </c>
      <c r="P10" s="13">
        <f>L10+M10+N10+O10</f>
        <v/>
      </c>
      <c r="Q10" s="14">
        <f>K10-P10</f>
        <v/>
      </c>
      <c r="R10" s="11">
        <f>MIN(K10,MAX(0,SS_BASE-H10))*SS_PCT</f>
        <v/>
      </c>
      <c r="S10" s="11">
        <f>K10*MED_PCT</f>
        <v/>
      </c>
      <c r="T10" s="11">
        <f>MIN(K10,MAX(0,UI_BASE-H10))*FUTA_PCT</f>
        <v/>
      </c>
      <c r="U10" s="11">
        <f>MIN(K10,MAX(0,UI_BASE-H10))*SUTA_PCT</f>
        <v/>
      </c>
      <c r="V10" s="11">
        <f>MIN(K10,MAX(0,SINOT_BASE-H10))*SINOT_PCT</f>
        <v/>
      </c>
      <c r="W10" s="15">
        <f>K10+R10+S10+T10+U10+V10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1">
        <f>E11*F11</f>
        <v/>
      </c>
      <c r="J11" s="11">
        <f>E11*OT_MULT*G11</f>
        <v/>
      </c>
      <c r="K11" s="11">
        <f>I11+J11</f>
        <v/>
      </c>
      <c r="L11" s="11">
        <f>MIN(K11,MAX(0,SS_BASE-H11))*SS_PCT</f>
        <v/>
      </c>
      <c r="M11" s="11">
        <f>K11*MED_PCT</f>
        <v/>
      </c>
      <c r="N11" s="11">
        <f>MIN(K11,MAX(0,SINOT_BASE-H11))*SINOT_PCT</f>
        <v/>
      </c>
      <c r="O11" s="12" t="n">
        <v>0</v>
      </c>
      <c r="P11" s="13">
        <f>L11+M11+N11+O11</f>
        <v/>
      </c>
      <c r="Q11" s="14">
        <f>K11-P11</f>
        <v/>
      </c>
      <c r="R11" s="11">
        <f>MIN(K11,MAX(0,SS_BASE-H11))*SS_PCT</f>
        <v/>
      </c>
      <c r="S11" s="11">
        <f>K11*MED_PCT</f>
        <v/>
      </c>
      <c r="T11" s="11">
        <f>MIN(K11,MAX(0,UI_BASE-H11))*FUTA_PCT</f>
        <v/>
      </c>
      <c r="U11" s="11">
        <f>MIN(K11,MAX(0,UI_BASE-H11))*SUTA_PCT</f>
        <v/>
      </c>
      <c r="V11" s="11">
        <f>MIN(K11,MAX(0,SINOT_BASE-H11))*SINOT_PCT</f>
        <v/>
      </c>
      <c r="W11" s="15">
        <f>K11+R11+S11+T11+U11+V11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>
        <f>E12*F12</f>
        <v/>
      </c>
      <c r="J12" s="11">
        <f>E12*OT_MULT*G12</f>
        <v/>
      </c>
      <c r="K12" s="11">
        <f>I12+J12</f>
        <v/>
      </c>
      <c r="L12" s="11">
        <f>MIN(K12,MAX(0,SS_BASE-H12))*SS_PCT</f>
        <v/>
      </c>
      <c r="M12" s="11">
        <f>K12*MED_PCT</f>
        <v/>
      </c>
      <c r="N12" s="11">
        <f>MIN(K12,MAX(0,SINOT_BASE-H12))*SINOT_PCT</f>
        <v/>
      </c>
      <c r="O12" s="12" t="n">
        <v>0</v>
      </c>
      <c r="P12" s="13">
        <f>L12+M12+N12+O12</f>
        <v/>
      </c>
      <c r="Q12" s="14">
        <f>K12-P12</f>
        <v/>
      </c>
      <c r="R12" s="11">
        <f>MIN(K12,MAX(0,SS_BASE-H12))*SS_PCT</f>
        <v/>
      </c>
      <c r="S12" s="11">
        <f>K12*MED_PCT</f>
        <v/>
      </c>
      <c r="T12" s="11">
        <f>MIN(K12,MAX(0,UI_BASE-H12))*FUTA_PCT</f>
        <v/>
      </c>
      <c r="U12" s="11">
        <f>MIN(K12,MAX(0,UI_BASE-H12))*SUTA_PCT</f>
        <v/>
      </c>
      <c r="V12" s="11">
        <f>MIN(K12,MAX(0,SINOT_BASE-H12))*SINOT_PCT</f>
        <v/>
      </c>
      <c r="W12" s="15">
        <f>K12+R12+S12+T12+U12+V12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1">
        <f>E13*F13</f>
        <v/>
      </c>
      <c r="J13" s="11">
        <f>E13*OT_MULT*G13</f>
        <v/>
      </c>
      <c r="K13" s="11">
        <f>I13+J13</f>
        <v/>
      </c>
      <c r="L13" s="11">
        <f>MIN(K13,MAX(0,SS_BASE-H13))*SS_PCT</f>
        <v/>
      </c>
      <c r="M13" s="11">
        <f>K13*MED_PCT</f>
        <v/>
      </c>
      <c r="N13" s="11">
        <f>MIN(K13,MAX(0,SINOT_BASE-H13))*SINOT_PCT</f>
        <v/>
      </c>
      <c r="O13" s="12" t="n">
        <v>0</v>
      </c>
      <c r="P13" s="13">
        <f>L13+M13+N13+O13</f>
        <v/>
      </c>
      <c r="Q13" s="14">
        <f>K13-P13</f>
        <v/>
      </c>
      <c r="R13" s="11">
        <f>MIN(K13,MAX(0,SS_BASE-H13))*SS_PCT</f>
        <v/>
      </c>
      <c r="S13" s="11">
        <f>K13*MED_PCT</f>
        <v/>
      </c>
      <c r="T13" s="11">
        <f>MIN(K13,MAX(0,UI_BASE-H13))*FUTA_PCT</f>
        <v/>
      </c>
      <c r="U13" s="11">
        <f>MIN(K13,MAX(0,UI_BASE-H13))*SUTA_PCT</f>
        <v/>
      </c>
      <c r="V13" s="11">
        <f>MIN(K13,MAX(0,SINOT_BASE-H13))*SINOT_PCT</f>
        <v/>
      </c>
      <c r="W13" s="15">
        <f>K13+R13+S13+T13+U13+V13</f>
        <v/>
      </c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>
        <f>E14*F14</f>
        <v/>
      </c>
      <c r="J14" s="11">
        <f>E14*OT_MULT*G14</f>
        <v/>
      </c>
      <c r="K14" s="11">
        <f>I14+J14</f>
        <v/>
      </c>
      <c r="L14" s="11">
        <f>MIN(K14,MAX(0,SS_BASE-H14))*SS_PCT</f>
        <v/>
      </c>
      <c r="M14" s="11">
        <f>K14*MED_PCT</f>
        <v/>
      </c>
      <c r="N14" s="11">
        <f>MIN(K14,MAX(0,SINOT_BASE-H14))*SINOT_PCT</f>
        <v/>
      </c>
      <c r="O14" s="12" t="n">
        <v>0</v>
      </c>
      <c r="P14" s="13">
        <f>L14+M14+N14+O14</f>
        <v/>
      </c>
      <c r="Q14" s="14">
        <f>K14-P14</f>
        <v/>
      </c>
      <c r="R14" s="11">
        <f>MIN(K14,MAX(0,SS_BASE-H14))*SS_PCT</f>
        <v/>
      </c>
      <c r="S14" s="11">
        <f>K14*MED_PCT</f>
        <v/>
      </c>
      <c r="T14" s="11">
        <f>MIN(K14,MAX(0,UI_BASE-H14))*FUTA_PCT</f>
        <v/>
      </c>
      <c r="U14" s="11">
        <f>MIN(K14,MAX(0,UI_BASE-H14))*SUTA_PCT</f>
        <v/>
      </c>
      <c r="V14" s="11">
        <f>MIN(K14,MAX(0,SINOT_BASE-H14))*SINOT_PCT</f>
        <v/>
      </c>
      <c r="W14" s="15">
        <f>K14+R14+S14+T14+U14+V14</f>
        <v/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>
        <f>E15*F15</f>
        <v/>
      </c>
      <c r="J15" s="11">
        <f>E15*OT_MULT*G15</f>
        <v/>
      </c>
      <c r="K15" s="11">
        <f>I15+J15</f>
        <v/>
      </c>
      <c r="L15" s="11">
        <f>MIN(K15,MAX(0,SS_BASE-H15))*SS_PCT</f>
        <v/>
      </c>
      <c r="M15" s="11">
        <f>K15*MED_PCT</f>
        <v/>
      </c>
      <c r="N15" s="11">
        <f>MIN(K15,MAX(0,SINOT_BASE-H15))*SINOT_PCT</f>
        <v/>
      </c>
      <c r="O15" s="12" t="n">
        <v>0</v>
      </c>
      <c r="P15" s="13">
        <f>L15+M15+N15+O15</f>
        <v/>
      </c>
      <c r="Q15" s="14">
        <f>K15-P15</f>
        <v/>
      </c>
      <c r="R15" s="11">
        <f>MIN(K15,MAX(0,SS_BASE-H15))*SS_PCT</f>
        <v/>
      </c>
      <c r="S15" s="11">
        <f>K15*MED_PCT</f>
        <v/>
      </c>
      <c r="T15" s="11">
        <f>MIN(K15,MAX(0,UI_BASE-H15))*FUTA_PCT</f>
        <v/>
      </c>
      <c r="U15" s="11">
        <f>MIN(K15,MAX(0,UI_BASE-H15))*SUTA_PCT</f>
        <v/>
      </c>
      <c r="V15" s="11">
        <f>MIN(K15,MAX(0,SINOT_BASE-H15))*SINOT_PCT</f>
        <v/>
      </c>
      <c r="W15" s="15">
        <f>K15+R15+S15+T15+U15+V15</f>
        <v/>
      </c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>
        <f>E16*F16</f>
        <v/>
      </c>
      <c r="J16" s="11">
        <f>E16*OT_MULT*G16</f>
        <v/>
      </c>
      <c r="K16" s="11">
        <f>I16+J16</f>
        <v/>
      </c>
      <c r="L16" s="11">
        <f>MIN(K16,MAX(0,SS_BASE-H16))*SS_PCT</f>
        <v/>
      </c>
      <c r="M16" s="11">
        <f>K16*MED_PCT</f>
        <v/>
      </c>
      <c r="N16" s="11">
        <f>MIN(K16,MAX(0,SINOT_BASE-H16))*SINOT_PCT</f>
        <v/>
      </c>
      <c r="O16" s="12" t="n">
        <v>0</v>
      </c>
      <c r="P16" s="13">
        <f>L16+M16+N16+O16</f>
        <v/>
      </c>
      <c r="Q16" s="14">
        <f>K16-P16</f>
        <v/>
      </c>
      <c r="R16" s="11">
        <f>MIN(K16,MAX(0,SS_BASE-H16))*SS_PCT</f>
        <v/>
      </c>
      <c r="S16" s="11">
        <f>K16*MED_PCT</f>
        <v/>
      </c>
      <c r="T16" s="11">
        <f>MIN(K16,MAX(0,UI_BASE-H16))*FUTA_PCT</f>
        <v/>
      </c>
      <c r="U16" s="11">
        <f>MIN(K16,MAX(0,UI_BASE-H16))*SUTA_PCT</f>
        <v/>
      </c>
      <c r="V16" s="11">
        <f>MIN(K16,MAX(0,SINOT_BASE-H16))*SINOT_PCT</f>
        <v/>
      </c>
      <c r="W16" s="15">
        <f>K16+R16+S16+T16+U16+V16</f>
        <v/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1">
        <f>E17*F17</f>
        <v/>
      </c>
      <c r="J17" s="11">
        <f>E17*OT_MULT*G17</f>
        <v/>
      </c>
      <c r="K17" s="11">
        <f>I17+J17</f>
        <v/>
      </c>
      <c r="L17" s="11">
        <f>MIN(K17,MAX(0,SS_BASE-H17))*SS_PCT</f>
        <v/>
      </c>
      <c r="M17" s="11">
        <f>K17*MED_PCT</f>
        <v/>
      </c>
      <c r="N17" s="11">
        <f>MIN(K17,MAX(0,SINOT_BASE-H17))*SINOT_PCT</f>
        <v/>
      </c>
      <c r="O17" s="12" t="n">
        <v>0</v>
      </c>
      <c r="P17" s="13">
        <f>L17+M17+N17+O17</f>
        <v/>
      </c>
      <c r="Q17" s="14">
        <f>K17-P17</f>
        <v/>
      </c>
      <c r="R17" s="11">
        <f>MIN(K17,MAX(0,SS_BASE-H17))*SS_PCT</f>
        <v/>
      </c>
      <c r="S17" s="11">
        <f>K17*MED_PCT</f>
        <v/>
      </c>
      <c r="T17" s="11">
        <f>MIN(K17,MAX(0,UI_BASE-H17))*FUTA_PCT</f>
        <v/>
      </c>
      <c r="U17" s="11">
        <f>MIN(K17,MAX(0,UI_BASE-H17))*SUTA_PCT</f>
        <v/>
      </c>
      <c r="V17" s="11">
        <f>MIN(K17,MAX(0,SINOT_BASE-H17))*SINOT_PCT</f>
        <v/>
      </c>
      <c r="W17" s="15">
        <f>K17+R17+S17+T17+U17+V17</f>
        <v/>
      </c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>
        <f>E18*F18</f>
        <v/>
      </c>
      <c r="J18" s="11">
        <f>E18*OT_MULT*G18</f>
        <v/>
      </c>
      <c r="K18" s="11">
        <f>I18+J18</f>
        <v/>
      </c>
      <c r="L18" s="11">
        <f>MIN(K18,MAX(0,SS_BASE-H18))*SS_PCT</f>
        <v/>
      </c>
      <c r="M18" s="11">
        <f>K18*MED_PCT</f>
        <v/>
      </c>
      <c r="N18" s="11">
        <f>MIN(K18,MAX(0,SINOT_BASE-H18))*SINOT_PCT</f>
        <v/>
      </c>
      <c r="O18" s="12" t="n">
        <v>0</v>
      </c>
      <c r="P18" s="13">
        <f>L18+M18+N18+O18</f>
        <v/>
      </c>
      <c r="Q18" s="14">
        <f>K18-P18</f>
        <v/>
      </c>
      <c r="R18" s="11">
        <f>MIN(K18,MAX(0,SS_BASE-H18))*SS_PCT</f>
        <v/>
      </c>
      <c r="S18" s="11">
        <f>K18*MED_PCT</f>
        <v/>
      </c>
      <c r="T18" s="11">
        <f>MIN(K18,MAX(0,UI_BASE-H18))*FUTA_PCT</f>
        <v/>
      </c>
      <c r="U18" s="11">
        <f>MIN(K18,MAX(0,UI_BASE-H18))*SUTA_PCT</f>
        <v/>
      </c>
      <c r="V18" s="11">
        <f>MIN(K18,MAX(0,SINOT_BASE-H18))*SINOT_PCT</f>
        <v/>
      </c>
      <c r="W18" s="15">
        <f>K18+R18+S18+T18+U18+V18</f>
        <v/>
      </c>
    </row>
    <row r="19">
      <c r="A19" s="16" t="inlineStr">
        <is>
          <t>TOTALES</t>
        </is>
      </c>
      <c r="B19" s="17" t="n"/>
      <c r="C19" s="17" t="n"/>
      <c r="D19" s="17" t="n"/>
      <c r="E19" s="17" t="n"/>
      <c r="F19" s="17" t="n"/>
      <c r="G19" s="17" t="n"/>
      <c r="H19" s="17" t="n"/>
      <c r="I19" s="18">
        <f>SUM(I4:I18)</f>
        <v/>
      </c>
      <c r="J19" s="18">
        <f>SUM(J4:J18)</f>
        <v/>
      </c>
      <c r="K19" s="18">
        <f>SUM(K4:K18)</f>
        <v/>
      </c>
      <c r="L19" s="18">
        <f>SUM(L4:L18)</f>
        <v/>
      </c>
      <c r="M19" s="18">
        <f>SUM(M4:M18)</f>
        <v/>
      </c>
      <c r="N19" s="18">
        <f>SUM(N4:N18)</f>
        <v/>
      </c>
      <c r="O19" s="18">
        <f>SUM(O4:O18)</f>
        <v/>
      </c>
      <c r="P19" s="18">
        <f>SUM(P4:P18)</f>
        <v/>
      </c>
      <c r="Q19" s="18">
        <f>SUM(Q4:Q18)</f>
        <v/>
      </c>
      <c r="R19" s="18">
        <f>SUM(R4:R18)</f>
        <v/>
      </c>
      <c r="S19" s="18">
        <f>SUM(S4:S18)</f>
        <v/>
      </c>
      <c r="T19" s="18">
        <f>SUM(T4:T18)</f>
        <v/>
      </c>
      <c r="U19" s="18">
        <f>SUM(U4:U18)</f>
        <v/>
      </c>
      <c r="V19" s="18">
        <f>SUM(V4:V18)</f>
        <v/>
      </c>
      <c r="W19" s="18">
        <f>SUM(W4:W18)</f>
        <v/>
      </c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5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20" customWidth="1" min="10" max="10"/>
  </cols>
  <sheetData>
    <row r="1" ht="26" customHeight="1">
      <c r="A1" s="1" t="inlineStr">
        <is>
          <t>REGISTRO DE PAGOS — CONTRATISTAS 1099</t>
        </is>
      </c>
    </row>
    <row r="2" ht="16" customHeight="1">
      <c r="A2" s="2" t="inlineStr">
        <is>
          <t>Retención 10% sobre servicios (Hacienda). Primeros $500/año exentos. 'Relevo total = S' → 0% retención.</t>
        </is>
      </c>
    </row>
    <row r="3" ht="34" customHeight="1">
      <c r="A3" s="19" t="inlineStr">
        <is>
          <t>Contratista</t>
        </is>
      </c>
      <c r="B3" s="19" t="inlineStr">
        <is>
          <t>ID/EIN</t>
        </is>
      </c>
      <c r="C3" s="19" t="inlineStr">
        <is>
          <t>Servicio prestado</t>
        </is>
      </c>
      <c r="D3" s="19" t="inlineStr">
        <is>
          <t>Relevo total (S/N)</t>
        </is>
      </c>
      <c r="E3" s="19" t="inlineStr">
        <is>
          <t>Pago bruto período</t>
        </is>
      </c>
      <c r="F3" s="19" t="inlineStr">
        <is>
          <t>Pagos YTD anterior</t>
        </is>
      </c>
      <c r="G3" s="19" t="inlineStr">
        <is>
          <t>Base sujeta a retención</t>
        </is>
      </c>
      <c r="H3" s="19" t="inlineStr">
        <is>
          <t>Retención 10%</t>
        </is>
      </c>
      <c r="I3" s="19" t="inlineStr">
        <is>
          <t>NETO A PAGAR</t>
        </is>
      </c>
      <c r="J3" s="19" t="inlineStr">
        <is>
          <t>Formulario informativo</t>
        </is>
      </c>
    </row>
    <row r="4">
      <c r="A4" s="20" t="inlineStr">
        <is>
          <t>Servicios Contables LM (EJEMPLO)</t>
        </is>
      </c>
      <c r="B4" s="20" t="inlineStr">
        <is>
          <t>66-1234567</t>
        </is>
      </c>
      <c r="C4" s="20" t="inlineStr">
        <is>
          <t>Contabilidad mensual</t>
        </is>
      </c>
      <c r="D4" s="20" t="inlineStr">
        <is>
          <t>N</t>
        </is>
      </c>
      <c r="E4" s="21" t="n">
        <v>800</v>
      </c>
      <c r="F4" s="21" t="n">
        <v>0</v>
      </c>
      <c r="G4" s="22">
        <f>IF(UPPER(D4)="S",0,MAX(0,E4-MAX(0,EXEN_1099-F4)))</f>
        <v/>
      </c>
      <c r="H4" s="22">
        <f>G4*RET_1099</f>
        <v/>
      </c>
      <c r="I4" s="23">
        <f>E4-H4</f>
        <v/>
      </c>
      <c r="J4" s="24">
        <f>IF(UPPER(D4)="S","480.6D (exento)","480.6SP / 480.6A")</f>
        <v/>
      </c>
    </row>
    <row r="5">
      <c r="A5" s="20" t="inlineStr">
        <is>
          <t>Diseño Web PR (EJEMPLO)</t>
        </is>
      </c>
      <c r="B5" s="20" t="inlineStr">
        <is>
          <t>66-7654321</t>
        </is>
      </c>
      <c r="C5" s="20" t="inlineStr">
        <is>
          <t>Página web</t>
        </is>
      </c>
      <c r="D5" s="20" t="inlineStr">
        <is>
          <t>N</t>
        </is>
      </c>
      <c r="E5" s="21" t="n">
        <v>450</v>
      </c>
      <c r="F5" s="21" t="n">
        <v>0</v>
      </c>
      <c r="G5" s="22">
        <f>IF(UPPER(D5)="S",0,MAX(0,E5-MAX(0,EXEN_1099-F5)))</f>
        <v/>
      </c>
      <c r="H5" s="22">
        <f>G5*RET_1099</f>
        <v/>
      </c>
      <c r="I5" s="23">
        <f>E5-H5</f>
        <v/>
      </c>
      <c r="J5" s="24">
        <f>IF(UPPER(D5)="S","480.6D (exento)","480.6SP / 480.6A")</f>
        <v/>
      </c>
    </row>
    <row r="6">
      <c r="A6" s="20" t="inlineStr">
        <is>
          <t>Consultor J. Ríos (EJEMPLO)</t>
        </is>
      </c>
      <c r="B6" s="20" t="inlineStr">
        <is>
          <t>987-65-4321</t>
        </is>
      </c>
      <c r="C6" s="20" t="inlineStr">
        <is>
          <t>Consultoría (relevo)</t>
        </is>
      </c>
      <c r="D6" s="20" t="inlineStr">
        <is>
          <t>S</t>
        </is>
      </c>
      <c r="E6" s="21" t="n">
        <v>1200</v>
      </c>
      <c r="F6" s="21" t="n">
        <v>0</v>
      </c>
      <c r="G6" s="22">
        <f>IF(UPPER(D6)="S",0,MAX(0,E6-MAX(0,EXEN_1099-F6)))</f>
        <v/>
      </c>
      <c r="H6" s="22">
        <f>G6*RET_1099</f>
        <v/>
      </c>
      <c r="I6" s="23">
        <f>E6-H6</f>
        <v/>
      </c>
      <c r="J6" s="24">
        <f>IF(UPPER(D6)="S","480.6D (exento)","480.6SP / 480.6A")</f>
        <v/>
      </c>
    </row>
    <row r="7">
      <c r="A7" s="20" t="n"/>
      <c r="B7" s="20" t="n"/>
      <c r="C7" s="20" t="n"/>
      <c r="D7" s="20" t="n"/>
      <c r="E7" s="21" t="n"/>
      <c r="F7" s="21" t="n"/>
      <c r="G7" s="22">
        <f>IF(UPPER(D7)="S",0,MAX(0,E7-MAX(0,EXEN_1099-F7)))</f>
        <v/>
      </c>
      <c r="H7" s="22">
        <f>G7*RET_1099</f>
        <v/>
      </c>
      <c r="I7" s="23">
        <f>E7-H7</f>
        <v/>
      </c>
      <c r="J7" s="24">
        <f>IF(UPPER(D7)="S","480.6D (exento)","480.6SP / 480.6A")</f>
        <v/>
      </c>
    </row>
    <row r="8">
      <c r="A8" s="20" t="n"/>
      <c r="B8" s="20" t="n"/>
      <c r="C8" s="20" t="n"/>
      <c r="D8" s="20" t="n"/>
      <c r="E8" s="21" t="n"/>
      <c r="F8" s="21" t="n"/>
      <c r="G8" s="22">
        <f>IF(UPPER(D8)="S",0,MAX(0,E8-MAX(0,EXEN_1099-F8)))</f>
        <v/>
      </c>
      <c r="H8" s="22">
        <f>G8*RET_1099</f>
        <v/>
      </c>
      <c r="I8" s="23">
        <f>E8-H8</f>
        <v/>
      </c>
      <c r="J8" s="24">
        <f>IF(UPPER(D8)="S","480.6D (exento)","480.6SP / 480.6A")</f>
        <v/>
      </c>
    </row>
    <row r="9">
      <c r="A9" s="20" t="n"/>
      <c r="B9" s="20" t="n"/>
      <c r="C9" s="20" t="n"/>
      <c r="D9" s="20" t="n"/>
      <c r="E9" s="21" t="n"/>
      <c r="F9" s="21" t="n"/>
      <c r="G9" s="22">
        <f>IF(UPPER(D9)="S",0,MAX(0,E9-MAX(0,EXEN_1099-F9)))</f>
        <v/>
      </c>
      <c r="H9" s="22">
        <f>G9*RET_1099</f>
        <v/>
      </c>
      <c r="I9" s="23">
        <f>E9-H9</f>
        <v/>
      </c>
      <c r="J9" s="24">
        <f>IF(UPPER(D9)="S","480.6D (exento)","480.6SP / 480.6A")</f>
        <v/>
      </c>
    </row>
    <row r="10">
      <c r="A10" s="20" t="n"/>
      <c r="B10" s="20" t="n"/>
      <c r="C10" s="20" t="n"/>
      <c r="D10" s="20" t="n"/>
      <c r="E10" s="21" t="n"/>
      <c r="F10" s="21" t="n"/>
      <c r="G10" s="22">
        <f>IF(UPPER(D10)="S",0,MAX(0,E10-MAX(0,EXEN_1099-F10)))</f>
        <v/>
      </c>
      <c r="H10" s="22">
        <f>G10*RET_1099</f>
        <v/>
      </c>
      <c r="I10" s="23">
        <f>E10-H10</f>
        <v/>
      </c>
      <c r="J10" s="24">
        <f>IF(UPPER(D10)="S","480.6D (exento)","480.6SP / 480.6A")</f>
        <v/>
      </c>
    </row>
    <row r="11">
      <c r="A11" s="20" t="n"/>
      <c r="B11" s="20" t="n"/>
      <c r="C11" s="20" t="n"/>
      <c r="D11" s="20" t="n"/>
      <c r="E11" s="21" t="n"/>
      <c r="F11" s="21" t="n"/>
      <c r="G11" s="22">
        <f>IF(UPPER(D11)="S",0,MAX(0,E11-MAX(0,EXEN_1099-F11)))</f>
        <v/>
      </c>
      <c r="H11" s="22">
        <f>G11*RET_1099</f>
        <v/>
      </c>
      <c r="I11" s="23">
        <f>E11-H11</f>
        <v/>
      </c>
      <c r="J11" s="24">
        <f>IF(UPPER(D11)="S","480.6D (exento)","480.6SP / 480.6A")</f>
        <v/>
      </c>
    </row>
    <row r="12">
      <c r="A12" s="20" t="n"/>
      <c r="B12" s="20" t="n"/>
      <c r="C12" s="20" t="n"/>
      <c r="D12" s="20" t="n"/>
      <c r="E12" s="21" t="n"/>
      <c r="F12" s="21" t="n"/>
      <c r="G12" s="22">
        <f>IF(UPPER(D12)="S",0,MAX(0,E12-MAX(0,EXEN_1099-F12)))</f>
        <v/>
      </c>
      <c r="H12" s="22">
        <f>G12*RET_1099</f>
        <v/>
      </c>
      <c r="I12" s="23">
        <f>E12-H12</f>
        <v/>
      </c>
      <c r="J12" s="24">
        <f>IF(UPPER(D12)="S","480.6D (exento)","480.6SP / 480.6A")</f>
        <v/>
      </c>
    </row>
    <row r="13">
      <c r="A13" s="20" t="n"/>
      <c r="B13" s="20" t="n"/>
      <c r="C13" s="20" t="n"/>
      <c r="D13" s="20" t="n"/>
      <c r="E13" s="21" t="n"/>
      <c r="F13" s="21" t="n"/>
      <c r="G13" s="22">
        <f>IF(UPPER(D13)="S",0,MAX(0,E13-MAX(0,EXEN_1099-F13)))</f>
        <v/>
      </c>
      <c r="H13" s="22">
        <f>G13*RET_1099</f>
        <v/>
      </c>
      <c r="I13" s="23">
        <f>E13-H13</f>
        <v/>
      </c>
      <c r="J13" s="24">
        <f>IF(UPPER(D13)="S","480.6D (exento)","480.6SP / 480.6A")</f>
        <v/>
      </c>
    </row>
    <row r="14">
      <c r="A14" s="20" t="n"/>
      <c r="B14" s="20" t="n"/>
      <c r="C14" s="20" t="n"/>
      <c r="D14" s="20" t="n"/>
      <c r="E14" s="21" t="n"/>
      <c r="F14" s="21" t="n"/>
      <c r="G14" s="22">
        <f>IF(UPPER(D14)="S",0,MAX(0,E14-MAX(0,EXEN_1099-F14)))</f>
        <v/>
      </c>
      <c r="H14" s="22">
        <f>G14*RET_1099</f>
        <v/>
      </c>
      <c r="I14" s="23">
        <f>E14-H14</f>
        <v/>
      </c>
      <c r="J14" s="24">
        <f>IF(UPPER(D14)="S","480.6D (exento)","480.6SP / 480.6A")</f>
        <v/>
      </c>
    </row>
    <row r="15">
      <c r="A15" s="20" t="n"/>
      <c r="B15" s="20" t="n"/>
      <c r="C15" s="20" t="n"/>
      <c r="D15" s="20" t="n"/>
      <c r="E15" s="21" t="n"/>
      <c r="F15" s="21" t="n"/>
      <c r="G15" s="22">
        <f>IF(UPPER(D15)="S",0,MAX(0,E15-MAX(0,EXEN_1099-F15)))</f>
        <v/>
      </c>
      <c r="H15" s="22">
        <f>G15*RET_1099</f>
        <v/>
      </c>
      <c r="I15" s="23">
        <f>E15-H15</f>
        <v/>
      </c>
      <c r="J15" s="24">
        <f>IF(UPPER(D15)="S","480.6D (exento)","480.6SP / 480.6A")</f>
        <v/>
      </c>
    </row>
    <row r="16">
      <c r="A16" s="25" t="inlineStr">
        <is>
          <t>TOTALES</t>
        </is>
      </c>
      <c r="B16" s="26" t="n"/>
      <c r="C16" s="26" t="n"/>
      <c r="D16" s="26" t="n"/>
      <c r="E16" s="27">
        <f>SUM(E4:E15)</f>
        <v/>
      </c>
      <c r="F16" s="26" t="n"/>
      <c r="G16" s="27">
        <f>SUM(G4:G15)</f>
        <v/>
      </c>
      <c r="H16" s="27">
        <f>SUM(H4:H15)</f>
        <v/>
      </c>
      <c r="I16" s="27">
        <f>SUM(I4:I15)</f>
        <v/>
      </c>
      <c r="J16" s="26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16" customWidth="1" min="5" max="5"/>
    <col width="12" customWidth="1" min="6" max="6"/>
    <col width="16" customWidth="1" min="7" max="7"/>
  </cols>
  <sheetData>
    <row r="1" ht="26" customHeight="1">
      <c r="A1" s="1" t="inlineStr">
        <is>
          <t>CÁLCULO DEL BONO DE NAVIDAD — Ley 148 (enm. Ley 4-2017)</t>
        </is>
      </c>
    </row>
    <row r="2" ht="16" customHeight="1">
      <c r="A2" s="2" t="inlineStr">
        <is>
          <t>Pago obligatorio entre 15-nov y 15-dic. 6% si patrono &gt;15 empleados (tope salario $10,000 → máx $600).</t>
        </is>
      </c>
    </row>
    <row r="3" ht="40" customHeight="1">
      <c r="A3" s="28" t="inlineStr">
        <is>
          <t>Empleado</t>
        </is>
      </c>
      <c r="B3" s="28" t="inlineStr">
        <is>
          <t>Fecha ingreso</t>
        </is>
      </c>
      <c r="C3" s="28" t="inlineStr">
        <is>
          <t>Horas trabajadas (1-oct a 30-sep)</t>
        </is>
      </c>
      <c r="D3" s="28" t="inlineStr">
        <is>
          <t>Salario devengado en el período</t>
        </is>
      </c>
      <c r="E3" s="28" t="inlineStr">
        <is>
          <t>¿Cualifica? (≥1,350h)</t>
        </is>
      </c>
      <c r="F3" s="28" t="inlineStr">
        <is>
          <t>% aplicado</t>
        </is>
      </c>
      <c r="G3" s="28" t="inlineStr">
        <is>
          <t>BONO A PAGAR</t>
        </is>
      </c>
    </row>
    <row r="4">
      <c r="A4" s="29" t="inlineStr">
        <is>
          <t>María Rodríguez (EJEMPLO)</t>
        </is>
      </c>
      <c r="B4" s="29" t="inlineStr">
        <is>
          <t>2023-03-01</t>
        </is>
      </c>
      <c r="C4" s="29" t="n">
        <v>1800</v>
      </c>
      <c r="D4" s="30" t="n">
        <v>28000</v>
      </c>
      <c r="E4" s="31">
        <f>IF(C4="","",IF(C4&gt;=BONO_HRS,"Sí","No"))</f>
        <v/>
      </c>
      <c r="F4" s="32">
        <f>IF(E4="Sí",BONO_PCT_G,0)</f>
        <v/>
      </c>
      <c r="G4" s="33">
        <f>IF(E4="Sí",MIN(D4,BONO_TOPE)*BONO_PCT_G,0)</f>
        <v/>
      </c>
    </row>
    <row r="5">
      <c r="A5" s="29" t="inlineStr">
        <is>
          <t>José Torres (EJEMPLO)</t>
        </is>
      </c>
      <c r="B5" s="29" t="inlineStr">
        <is>
          <t>2021-07-15</t>
        </is>
      </c>
      <c r="C5" s="29" t="n">
        <v>1600</v>
      </c>
      <c r="D5" s="30" t="n">
        <v>21000</v>
      </c>
      <c r="E5" s="31">
        <f>IF(C5="","",IF(C5&gt;=BONO_HRS,"Sí","No"))</f>
        <v/>
      </c>
      <c r="F5" s="32">
        <f>IF(E5="Sí",BONO_PCT_G,0)</f>
        <v/>
      </c>
      <c r="G5" s="33">
        <f>IF(E5="Sí",MIN(D5,BONO_TOPE)*BONO_PCT_G,0)</f>
        <v/>
      </c>
    </row>
    <row r="6">
      <c r="A6" s="29" t="inlineStr">
        <is>
          <t>Ana Vega (EJEMPLO)</t>
        </is>
      </c>
      <c r="B6" s="29" t="inlineStr">
        <is>
          <t>2024-01-10</t>
        </is>
      </c>
      <c r="C6" s="29" t="n">
        <v>1200</v>
      </c>
      <c r="D6" s="30" t="n">
        <v>12600</v>
      </c>
      <c r="E6" s="31">
        <f>IF(C6="","",IF(C6&gt;=BONO_HRS,"Sí","No"))</f>
        <v/>
      </c>
      <c r="F6" s="32">
        <f>IF(E6="Sí",BONO_PCT_G,0)</f>
        <v/>
      </c>
      <c r="G6" s="33">
        <f>IF(E6="Sí",MIN(D6,BONO_TOPE)*BONO_PCT_G,0)</f>
        <v/>
      </c>
    </row>
    <row r="7">
      <c r="A7" s="29" t="n"/>
      <c r="B7" s="29" t="n"/>
      <c r="C7" s="29" t="n"/>
      <c r="D7" s="30" t="n"/>
      <c r="E7" s="31">
        <f>IF(C7="","",IF(C7&gt;=BONO_HRS,"Sí","No"))</f>
        <v/>
      </c>
      <c r="F7" s="32">
        <f>IF(E7="Sí",BONO_PCT_G,0)</f>
        <v/>
      </c>
      <c r="G7" s="33">
        <f>IF(E7="Sí",MIN(D7,BONO_TOPE)*BONO_PCT_G,0)</f>
        <v/>
      </c>
    </row>
    <row r="8">
      <c r="A8" s="29" t="n"/>
      <c r="B8" s="29" t="n"/>
      <c r="C8" s="29" t="n"/>
      <c r="D8" s="30" t="n"/>
      <c r="E8" s="31">
        <f>IF(C8="","",IF(C8&gt;=BONO_HRS,"Sí","No"))</f>
        <v/>
      </c>
      <c r="F8" s="32">
        <f>IF(E8="Sí",BONO_PCT_G,0)</f>
        <v/>
      </c>
      <c r="G8" s="33">
        <f>IF(E8="Sí",MIN(D8,BONO_TOPE)*BONO_PCT_G,0)</f>
        <v/>
      </c>
    </row>
    <row r="9">
      <c r="A9" s="29" t="n"/>
      <c r="B9" s="29" t="n"/>
      <c r="C9" s="29" t="n"/>
      <c r="D9" s="30" t="n"/>
      <c r="E9" s="31">
        <f>IF(C9="","",IF(C9&gt;=BONO_HRS,"Sí","No"))</f>
        <v/>
      </c>
      <c r="F9" s="32">
        <f>IF(E9="Sí",BONO_PCT_G,0)</f>
        <v/>
      </c>
      <c r="G9" s="33">
        <f>IF(E9="Sí",MIN(D9,BONO_TOPE)*BONO_PCT_G,0)</f>
        <v/>
      </c>
    </row>
    <row r="10">
      <c r="A10" s="29" t="n"/>
      <c r="B10" s="29" t="n"/>
      <c r="C10" s="29" t="n"/>
      <c r="D10" s="30" t="n"/>
      <c r="E10" s="31">
        <f>IF(C10="","",IF(C10&gt;=BONO_HRS,"Sí","No"))</f>
        <v/>
      </c>
      <c r="F10" s="32">
        <f>IF(E10="Sí",BONO_PCT_G,0)</f>
        <v/>
      </c>
      <c r="G10" s="33">
        <f>IF(E10="Sí",MIN(D10,BONO_TOPE)*BONO_PCT_G,0)</f>
        <v/>
      </c>
    </row>
    <row r="11">
      <c r="A11" s="29" t="n"/>
      <c r="B11" s="29" t="n"/>
      <c r="C11" s="29" t="n"/>
      <c r="D11" s="30" t="n"/>
      <c r="E11" s="31">
        <f>IF(C11="","",IF(C11&gt;=BONO_HRS,"Sí","No"))</f>
        <v/>
      </c>
      <c r="F11" s="32">
        <f>IF(E11="Sí",BONO_PCT_G,0)</f>
        <v/>
      </c>
      <c r="G11" s="33">
        <f>IF(E11="Sí",MIN(D11,BONO_TOPE)*BONO_PCT_G,0)</f>
        <v/>
      </c>
    </row>
    <row r="12">
      <c r="A12" s="29" t="n"/>
      <c r="B12" s="29" t="n"/>
      <c r="C12" s="29" t="n"/>
      <c r="D12" s="30" t="n"/>
      <c r="E12" s="31">
        <f>IF(C12="","",IF(C12&gt;=BONO_HRS,"Sí","No"))</f>
        <v/>
      </c>
      <c r="F12" s="32">
        <f>IF(E12="Sí",BONO_PCT_G,0)</f>
        <v/>
      </c>
      <c r="G12" s="33">
        <f>IF(E12="Sí",MIN(D12,BONO_TOPE)*BONO_PCT_G,0)</f>
        <v/>
      </c>
    </row>
    <row r="13">
      <c r="A13" s="29" t="n"/>
      <c r="B13" s="29" t="n"/>
      <c r="C13" s="29" t="n"/>
      <c r="D13" s="30" t="n"/>
      <c r="E13" s="31">
        <f>IF(C13="","",IF(C13&gt;=BONO_HRS,"Sí","No"))</f>
        <v/>
      </c>
      <c r="F13" s="32">
        <f>IF(E13="Sí",BONO_PCT_G,0)</f>
        <v/>
      </c>
      <c r="G13" s="33">
        <f>IF(E13="Sí",MIN(D13,BONO_TOPE)*BONO_PCT_G,0)</f>
        <v/>
      </c>
    </row>
    <row r="14">
      <c r="A14" s="29" t="n"/>
      <c r="B14" s="29" t="n"/>
      <c r="C14" s="29" t="n"/>
      <c r="D14" s="30" t="n"/>
      <c r="E14" s="31">
        <f>IF(C14="","",IF(C14&gt;=BONO_HRS,"Sí","No"))</f>
        <v/>
      </c>
      <c r="F14" s="32">
        <f>IF(E14="Sí",BONO_PCT_G,0)</f>
        <v/>
      </c>
      <c r="G14" s="33">
        <f>IF(E14="Sí",MIN(D14,BONO_TOPE)*BONO_PCT_G,0)</f>
        <v/>
      </c>
    </row>
    <row r="15">
      <c r="A15" s="29" t="n"/>
      <c r="B15" s="29" t="n"/>
      <c r="C15" s="29" t="n"/>
      <c r="D15" s="30" t="n"/>
      <c r="E15" s="31">
        <f>IF(C15="","",IF(C15&gt;=BONO_HRS,"Sí","No"))</f>
        <v/>
      </c>
      <c r="F15" s="32">
        <f>IF(E15="Sí",BONO_PCT_G,0)</f>
        <v/>
      </c>
      <c r="G15" s="33">
        <f>IF(E15="Sí",MIN(D15,BONO_TOPE)*BONO_PCT_G,0)</f>
        <v/>
      </c>
    </row>
    <row r="16">
      <c r="A16" s="29" t="n"/>
      <c r="B16" s="29" t="n"/>
      <c r="C16" s="29" t="n"/>
      <c r="D16" s="30" t="n"/>
      <c r="E16" s="31">
        <f>IF(C16="","",IF(C16&gt;=BONO_HRS,"Sí","No"))</f>
        <v/>
      </c>
      <c r="F16" s="32">
        <f>IF(E16="Sí",BONO_PCT_G,0)</f>
        <v/>
      </c>
      <c r="G16" s="33">
        <f>IF(E16="Sí",MIN(D16,BONO_TOPE)*BONO_PCT_G,0)</f>
        <v/>
      </c>
    </row>
    <row r="17">
      <c r="A17" s="29" t="n"/>
      <c r="B17" s="29" t="n"/>
      <c r="C17" s="29" t="n"/>
      <c r="D17" s="30" t="n"/>
      <c r="E17" s="31">
        <f>IF(C17="","",IF(C17&gt;=BONO_HRS,"Sí","No"))</f>
        <v/>
      </c>
      <c r="F17" s="32">
        <f>IF(E17="Sí",BONO_PCT_G,0)</f>
        <v/>
      </c>
      <c r="G17" s="33">
        <f>IF(E17="Sí",MIN(D17,BONO_TOPE)*BONO_PCT_G,0)</f>
        <v/>
      </c>
    </row>
    <row r="18">
      <c r="A18" s="29" t="n"/>
      <c r="B18" s="29" t="n"/>
      <c r="C18" s="29" t="n"/>
      <c r="D18" s="30" t="n"/>
      <c r="E18" s="31">
        <f>IF(C18="","",IF(C18&gt;=BONO_HRS,"Sí","No"))</f>
        <v/>
      </c>
      <c r="F18" s="32">
        <f>IF(E18="Sí",BONO_PCT_G,0)</f>
        <v/>
      </c>
      <c r="G18" s="33">
        <f>IF(E18="Sí",MIN(D18,BONO_TOPE)*BONO_PCT_G,0)</f>
        <v/>
      </c>
    </row>
    <row r="19">
      <c r="A19" s="34" t="inlineStr">
        <is>
          <t>TOTAL BONO</t>
        </is>
      </c>
      <c r="B19" s="35" t="n"/>
      <c r="C19" s="35" t="n"/>
      <c r="D19" s="36">
        <f>SUM(D4:D18)</f>
        <v/>
      </c>
      <c r="E19" s="35" t="n"/>
      <c r="F19" s="35" t="n"/>
      <c r="G19" s="36">
        <f>SUM(G4:G18)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20" customWidth="1" min="4" max="4"/>
  </cols>
  <sheetData>
    <row r="1" ht="26" customHeight="1">
      <c r="A1" s="1" t="inlineStr">
        <is>
          <t>RESUMEN DEL PERÍODO Y LISTA DE CUMPLIMIENTO</t>
        </is>
      </c>
    </row>
    <row r="2" ht="16" customHeight="1">
      <c r="A2" s="2" t="inlineStr">
        <is>
          <t>Empresas HC LLC · Puerto Rico · Consolida nómina W-2, contratistas 1099 y obligaciones legales.</t>
        </is>
      </c>
    </row>
    <row r="4">
      <c r="A4" s="37" t="inlineStr">
        <is>
          <t>RESUMEN FINANCIERO DEL PERÍODO</t>
        </is>
      </c>
    </row>
    <row r="5">
      <c r="A5" s="38" t="inlineStr">
        <is>
          <t>Bruto total empleados W-2</t>
        </is>
      </c>
      <c r="B5" s="39" t="n"/>
      <c r="C5" s="40" t="n"/>
      <c r="D5" s="41">
        <f>'Nómina W-2'!K19</f>
        <v/>
      </c>
    </row>
    <row r="6">
      <c r="A6" s="38" t="inlineStr">
        <is>
          <t>Neto total a pagar (W-2)</t>
        </is>
      </c>
      <c r="B6" s="39" t="n"/>
      <c r="C6" s="40" t="n"/>
      <c r="D6" s="41">
        <f>'Nómina W-2'!Q19</f>
        <v/>
      </c>
    </row>
    <row r="7">
      <c r="A7" s="38" t="inlineStr">
        <is>
          <t>Retención PR empleados (499R)</t>
        </is>
      </c>
      <c r="B7" s="39" t="n"/>
      <c r="C7" s="40" t="n"/>
      <c r="D7" s="41">
        <f>'Nómina W-2'!O19</f>
        <v/>
      </c>
    </row>
    <row r="8">
      <c r="A8" s="38" t="inlineStr">
        <is>
          <t>Total deducciones empleados</t>
        </is>
      </c>
      <c r="B8" s="39" t="n"/>
      <c r="C8" s="40" t="n"/>
      <c r="D8" s="41">
        <f>'Nómina W-2'!P19</f>
        <v/>
      </c>
    </row>
    <row r="9">
      <c r="A9" s="38" t="inlineStr">
        <is>
          <t>Costo patronal total (W-2)</t>
        </is>
      </c>
      <c r="B9" s="39" t="n"/>
      <c r="C9" s="40" t="n"/>
      <c r="D9" s="41">
        <f>'Nómina W-2'!W19</f>
        <v/>
      </c>
    </row>
    <row r="10">
      <c r="A10" s="38" t="inlineStr">
        <is>
          <t>Pagos brutos a contratistas 1099</t>
        </is>
      </c>
      <c r="B10" s="39" t="n"/>
      <c r="C10" s="40" t="n"/>
      <c r="D10" s="41">
        <f>'Contratistas 1099'!E16</f>
        <v/>
      </c>
    </row>
    <row r="11">
      <c r="A11" s="38" t="inlineStr">
        <is>
          <t>Retención 10% a contratistas</t>
        </is>
      </c>
      <c r="B11" s="39" t="n"/>
      <c r="C11" s="40" t="n"/>
      <c r="D11" s="41">
        <f>'Contratistas 1099'!H16</f>
        <v/>
      </c>
    </row>
    <row r="12">
      <c r="A12" s="38" t="inlineStr">
        <is>
          <t>Neto a pagar contratistas</t>
        </is>
      </c>
      <c r="B12" s="39" t="n"/>
      <c r="C12" s="40" t="n"/>
      <c r="D12" s="41">
        <f>'Contratistas 1099'!I16</f>
        <v/>
      </c>
    </row>
    <row r="13">
      <c r="A13" s="38" t="inlineStr">
        <is>
          <t>Provisión Bono de Navidad (anual)</t>
        </is>
      </c>
      <c r="B13" s="39" t="n"/>
      <c r="C13" s="40" t="n"/>
      <c r="D13" s="41">
        <f>'Bono Navidad'!G19</f>
        <v/>
      </c>
    </row>
    <row r="15">
      <c r="A15" s="42" t="inlineStr">
        <is>
          <t>LISTA DE CUMPLIMIENTO LEGAL — PUERTO RICO</t>
        </is>
      </c>
    </row>
    <row r="16">
      <c r="A16" s="43" t="inlineStr">
        <is>
          <t>✓</t>
        </is>
      </c>
      <c r="B16" s="43" t="inlineStr">
        <is>
          <t>Obligación</t>
        </is>
      </c>
      <c r="C16" s="43" t="inlineStr">
        <is>
          <t>Base legal / Formulario</t>
        </is>
      </c>
      <c r="D16" s="43" t="inlineStr">
        <is>
          <t>Frecuencia</t>
        </is>
      </c>
    </row>
    <row r="17">
      <c r="A17" s="44" t="inlineStr">
        <is>
          <t>☐</t>
        </is>
      </c>
      <c r="B17" s="5" t="inlineStr">
        <is>
          <t>Pagar salario mínimo ≥ $10.50/h</t>
        </is>
      </c>
      <c r="C17" s="45" t="inlineStr">
        <is>
          <t>Ley 47-2021</t>
        </is>
      </c>
      <c r="D17" s="45" t="inlineStr">
        <is>
          <t>Cada nómina</t>
        </is>
      </c>
    </row>
    <row r="18">
      <c r="A18" s="44" t="inlineStr">
        <is>
          <t>☐</t>
        </is>
      </c>
      <c r="B18" s="5" t="inlineStr">
        <is>
          <t>Horas extra a 2x (&gt;8h/día ó &gt;40h/sem)</t>
        </is>
      </c>
      <c r="C18" s="45" t="inlineStr">
        <is>
          <t>Ley 379-1948</t>
        </is>
      </c>
      <c r="D18" s="45" t="inlineStr">
        <is>
          <t>Cada nómina</t>
        </is>
      </c>
    </row>
    <row r="19">
      <c r="A19" s="44" t="inlineStr">
        <is>
          <t>☐</t>
        </is>
      </c>
      <c r="B19" s="5" t="inlineStr">
        <is>
          <t>Retener y depositar Seg. Social + Medicare</t>
        </is>
      </c>
      <c r="C19" s="45" t="inlineStr">
        <is>
          <t>FICA / Form. 941-PR</t>
        </is>
      </c>
      <c r="D19" s="45" t="inlineStr">
        <is>
          <t>Cada depósito</t>
        </is>
      </c>
    </row>
    <row r="20">
      <c r="A20" s="44" t="inlineStr">
        <is>
          <t>☐</t>
        </is>
      </c>
      <c r="B20" s="5" t="inlineStr">
        <is>
          <t>Retener contribución sobre ingresos (PR)</t>
        </is>
      </c>
      <c r="C20" s="45" t="inlineStr">
        <is>
          <t>Form. 499R-1B / 499R-2</t>
        </is>
      </c>
      <c r="D20" s="45" t="inlineStr">
        <is>
          <t>Mensual/quincenal</t>
        </is>
      </c>
    </row>
    <row r="21">
      <c r="A21" s="44" t="inlineStr">
        <is>
          <t>☐</t>
        </is>
      </c>
      <c r="B21" s="5" t="inlineStr">
        <is>
          <t>Pagar SINOT (0.3% patrono + 0.3% empleado)</t>
        </is>
      </c>
      <c r="C21" s="45" t="inlineStr">
        <is>
          <t>DTRH / SINOT</t>
        </is>
      </c>
      <c r="D21" s="45" t="inlineStr">
        <is>
          <t>Trimestral</t>
        </is>
      </c>
    </row>
    <row r="22">
      <c r="A22" s="44" t="inlineStr">
        <is>
          <t>☐</t>
        </is>
      </c>
      <c r="B22" s="5" t="inlineStr">
        <is>
          <t>Pagar Seguro por Desempleo (FUTA+SUTA)</t>
        </is>
      </c>
      <c r="C22" s="45" t="inlineStr">
        <is>
          <t>Form. 940 / PR UI</t>
        </is>
      </c>
      <c r="D22" s="45" t="inlineStr">
        <is>
          <t>Trimestral</t>
        </is>
      </c>
    </row>
    <row r="23">
      <c r="A23" s="44" t="inlineStr">
        <is>
          <t>☐</t>
        </is>
      </c>
      <c r="B23" s="5" t="inlineStr">
        <is>
          <t>Póliza CFSE (Fondo del Seguro del Estado)</t>
        </is>
      </c>
      <c r="C23" s="45" t="inlineStr">
        <is>
          <t>Ley 45 / CFSE</t>
        </is>
      </c>
      <c r="D23" s="45" t="inlineStr">
        <is>
          <t>Anual</t>
        </is>
      </c>
    </row>
    <row r="24">
      <c r="A24" s="44" t="inlineStr">
        <is>
          <t>☐</t>
        </is>
      </c>
      <c r="B24" s="5" t="inlineStr">
        <is>
          <t>Seguro Choferil (si hay conductores)</t>
        </is>
      </c>
      <c r="C24" s="45" t="inlineStr">
        <is>
          <t>DTRH</t>
        </is>
      </c>
      <c r="D24" s="45" t="inlineStr">
        <is>
          <t>Según aplique</t>
        </is>
      </c>
    </row>
    <row r="25">
      <c r="A25" s="44" t="inlineStr">
        <is>
          <t>☐</t>
        </is>
      </c>
      <c r="B25" s="5" t="inlineStr">
        <is>
          <t>Retener 10% a contratistas por servicios</t>
        </is>
      </c>
      <c r="C25" s="45" t="inlineStr">
        <is>
          <t>Hacienda / 480.6</t>
        </is>
      </c>
      <c r="D25" s="45" t="inlineStr">
        <is>
          <t>Cada pago</t>
        </is>
      </c>
    </row>
    <row r="26">
      <c r="A26" s="44" t="inlineStr">
        <is>
          <t>☐</t>
        </is>
      </c>
      <c r="B26" s="5" t="inlineStr">
        <is>
          <t>Emitir W-2PR (499R-2) a empleados</t>
        </is>
      </c>
      <c r="C26" s="45" t="inlineStr">
        <is>
          <t>Hacienda</t>
        </is>
      </c>
      <c r="D26" s="45" t="inlineStr">
        <is>
          <t>Anual (31-ene)</t>
        </is>
      </c>
    </row>
    <row r="27">
      <c r="A27" s="44" t="inlineStr">
        <is>
          <t>☐</t>
        </is>
      </c>
      <c r="B27" s="5" t="inlineStr">
        <is>
          <t>Emitir 480.6 a contratistas</t>
        </is>
      </c>
      <c r="C27" s="45" t="inlineStr">
        <is>
          <t>Hacienda</t>
        </is>
      </c>
      <c r="D27" s="45" t="inlineStr">
        <is>
          <t>Anual</t>
        </is>
      </c>
    </row>
    <row r="28">
      <c r="A28" s="44" t="inlineStr">
        <is>
          <t>☐</t>
        </is>
      </c>
      <c r="B28" s="5" t="inlineStr">
        <is>
          <t>Pagar Bono de Navidad</t>
        </is>
      </c>
      <c r="C28" s="45" t="inlineStr">
        <is>
          <t>Ley 148 / Ley 4-2017</t>
        </is>
      </c>
      <c r="D28" s="45" t="inlineStr">
        <is>
          <t>15-nov a 15-dic</t>
        </is>
      </c>
    </row>
    <row r="29">
      <c r="A29" s="44" t="inlineStr">
        <is>
          <t>☐</t>
        </is>
      </c>
      <c r="B29" s="5" t="inlineStr">
        <is>
          <t>Acumular vacaciones y licencia por enfermedad</t>
        </is>
      </c>
      <c r="C29" s="45" t="inlineStr">
        <is>
          <t>Ley 180 / Ley 4-2017</t>
        </is>
      </c>
      <c r="D29" s="45" t="inlineStr">
        <is>
          <t>Mensual (≥130h/mes)</t>
        </is>
      </c>
    </row>
    <row r="30">
      <c r="A30" s="44" t="inlineStr">
        <is>
          <t>☐</t>
        </is>
      </c>
      <c r="B30" s="5" t="inlineStr">
        <is>
          <t>Conservar registros de nómina</t>
        </is>
      </c>
      <c r="C30" s="45" t="inlineStr">
        <is>
          <t>Ley 379 / FLSA</t>
        </is>
      </c>
      <c r="D30" s="45" t="inlineStr">
        <is>
          <t>≥ 3 años</t>
        </is>
      </c>
    </row>
    <row r="32">
      <c r="A32" s="46" t="inlineStr">
        <is>
          <t>AVISO: Plantilla de apoyo. Las tasas (base SS, tasa SUTA asignada, tablas de retención 499R) cambian y deben verificarse con el Departamento de Hacienda y el DTRH para cada período. No sustituye asesoría legal o contributiva profesional.</t>
        </is>
      </c>
    </row>
    <row r="33"/>
    <row r="34"/>
  </sheetData>
  <mergeCells count="14">
    <mergeCell ref="A10:C10"/>
    <mergeCell ref="A1:D1"/>
    <mergeCell ref="A13:C13"/>
    <mergeCell ref="A11:C11"/>
    <mergeCell ref="A5:C5"/>
    <mergeCell ref="A4:D4"/>
    <mergeCell ref="A8:C8"/>
    <mergeCell ref="A6:C6"/>
    <mergeCell ref="A9:C9"/>
    <mergeCell ref="A15:D15"/>
    <mergeCell ref="A2:D2"/>
    <mergeCell ref="A12:C12"/>
    <mergeCell ref="A7:C7"/>
    <mergeCell ref="A32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2026-07-16T23:14:52Z</dcterms:created>
  <dcterms:modified xsi:type="dcterms:W3CDTF">2026-07-16T23:14:52Z</dcterms:modified>
</cp:coreProperties>
</file>